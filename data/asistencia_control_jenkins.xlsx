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ProgramData\Jenkins\.jenkins\workspace\proyecto_academico_Certus\data\"/>
    </mc:Choice>
  </mc:AlternateContent>
  <xr:revisionPtr revIDLastSave="0" documentId="13_ncr:1_{D8D254DE-129D-48FA-A68E-77E7371A3609}" xr6:coauthVersionLast="47" xr6:coauthVersionMax="47" xr10:uidLastSave="{00000000-0000-0000-0000-000000000000}"/>
  <bookViews>
    <workbookView xWindow="11424" yWindow="0" windowWidth="11712" windowHeight="12336" activeTab="3" xr2:uid="{00000000-000D-0000-FFFF-FFFF00000000}"/>
  </bookViews>
  <sheets>
    <sheet name="Resumen" sheetId="1" r:id="rId1"/>
    <sheet name="Parametros" sheetId="2" r:id="rId2"/>
    <sheet name="Empleados" sheetId="3" r:id="rId3"/>
    <sheet name="Asistencia_Febrero_2026" sheetId="4" r:id="rId4"/>
  </sheets>
  <calcPr calcId="191029"/>
</workbook>
</file>

<file path=xl/calcChain.xml><?xml version="1.0" encoding="utf-8"?>
<calcChain xmlns="http://schemas.openxmlformats.org/spreadsheetml/2006/main">
  <c r="N361" i="4" l="1"/>
  <c r="M361" i="4"/>
  <c r="N360" i="4"/>
  <c r="M360" i="4"/>
  <c r="N359" i="4"/>
  <c r="M359" i="4"/>
  <c r="N358" i="4"/>
  <c r="M358" i="4"/>
  <c r="N357" i="4"/>
  <c r="M357" i="4"/>
  <c r="N356" i="4"/>
  <c r="M356" i="4"/>
  <c r="N355" i="4"/>
  <c r="M355" i="4"/>
  <c r="N354" i="4"/>
  <c r="M354" i="4"/>
  <c r="N353" i="4"/>
  <c r="M353" i="4"/>
  <c r="N352" i="4"/>
  <c r="M352" i="4"/>
  <c r="N351" i="4"/>
  <c r="M351" i="4"/>
  <c r="N350" i="4"/>
  <c r="M350" i="4"/>
  <c r="N349" i="4"/>
  <c r="M349" i="4"/>
  <c r="N348" i="4"/>
  <c r="M348" i="4"/>
  <c r="N347" i="4"/>
  <c r="M347" i="4"/>
  <c r="N346" i="4"/>
  <c r="M346" i="4"/>
  <c r="N345" i="4"/>
  <c r="M345" i="4"/>
  <c r="N344" i="4"/>
  <c r="M344" i="4"/>
  <c r="N343" i="4"/>
  <c r="M343" i="4"/>
  <c r="N342" i="4"/>
  <c r="M342" i="4"/>
  <c r="N341" i="4"/>
  <c r="M341" i="4"/>
  <c r="N340" i="4"/>
  <c r="M340" i="4"/>
  <c r="N339" i="4"/>
  <c r="M339" i="4"/>
  <c r="N338" i="4"/>
  <c r="M338" i="4"/>
  <c r="N337" i="4"/>
  <c r="M337" i="4"/>
  <c r="N336" i="4"/>
  <c r="M336" i="4"/>
  <c r="N335" i="4"/>
  <c r="M335" i="4"/>
  <c r="N334" i="4"/>
  <c r="M334" i="4"/>
  <c r="N333" i="4"/>
  <c r="M333" i="4"/>
  <c r="N332" i="4"/>
  <c r="M332" i="4"/>
  <c r="N331" i="4"/>
  <c r="M331" i="4"/>
  <c r="N330" i="4"/>
  <c r="M330" i="4"/>
  <c r="N329" i="4"/>
  <c r="M329" i="4"/>
  <c r="N328" i="4"/>
  <c r="M328" i="4"/>
  <c r="N327" i="4"/>
  <c r="M327" i="4"/>
  <c r="N326" i="4"/>
  <c r="M326" i="4"/>
  <c r="N325" i="4"/>
  <c r="M325" i="4"/>
  <c r="N324" i="4"/>
  <c r="M324" i="4"/>
  <c r="N323" i="4"/>
  <c r="M323" i="4"/>
  <c r="N322" i="4"/>
  <c r="M322" i="4"/>
  <c r="N321" i="4"/>
  <c r="M321" i="4"/>
  <c r="N320" i="4"/>
  <c r="M320" i="4"/>
  <c r="N319" i="4"/>
  <c r="M319" i="4"/>
  <c r="N318" i="4"/>
  <c r="M318" i="4"/>
  <c r="N317" i="4"/>
  <c r="M317" i="4"/>
  <c r="N316" i="4"/>
  <c r="M316" i="4"/>
  <c r="N315" i="4"/>
  <c r="M315" i="4"/>
  <c r="N314" i="4"/>
  <c r="M314" i="4"/>
  <c r="N313" i="4"/>
  <c r="M313" i="4"/>
  <c r="N312" i="4"/>
  <c r="M312" i="4"/>
  <c r="N311" i="4"/>
  <c r="M311" i="4"/>
  <c r="N310" i="4"/>
  <c r="M310" i="4"/>
  <c r="N309" i="4"/>
  <c r="M309" i="4"/>
  <c r="N308" i="4"/>
  <c r="M308" i="4"/>
  <c r="N307" i="4"/>
  <c r="M307" i="4"/>
  <c r="N306" i="4"/>
  <c r="M306" i="4"/>
  <c r="N305" i="4"/>
  <c r="M305" i="4"/>
  <c r="N304" i="4"/>
  <c r="M304" i="4"/>
  <c r="N303" i="4"/>
  <c r="M303" i="4"/>
  <c r="N302" i="4"/>
  <c r="M302" i="4"/>
  <c r="N301" i="4"/>
  <c r="M301" i="4"/>
  <c r="N300" i="4"/>
  <c r="M300" i="4"/>
  <c r="N299" i="4"/>
  <c r="M299" i="4"/>
  <c r="N298" i="4"/>
  <c r="M298" i="4"/>
  <c r="N297" i="4"/>
  <c r="M297" i="4"/>
  <c r="N296" i="4"/>
  <c r="M296" i="4"/>
  <c r="N295" i="4"/>
  <c r="M295" i="4"/>
  <c r="N294" i="4"/>
  <c r="M294" i="4"/>
  <c r="N293" i="4"/>
  <c r="M293" i="4"/>
  <c r="N292" i="4"/>
  <c r="M292" i="4"/>
  <c r="N291" i="4"/>
  <c r="M291" i="4"/>
  <c r="N290" i="4"/>
  <c r="M290" i="4"/>
  <c r="N289" i="4"/>
  <c r="M289" i="4"/>
  <c r="N288" i="4"/>
  <c r="M288" i="4"/>
  <c r="N287" i="4"/>
  <c r="M287" i="4"/>
  <c r="N286" i="4"/>
  <c r="M286" i="4"/>
  <c r="N285" i="4"/>
  <c r="M285" i="4"/>
  <c r="N284" i="4"/>
  <c r="M284" i="4"/>
  <c r="N283" i="4"/>
  <c r="M283" i="4"/>
  <c r="N282" i="4"/>
  <c r="M282" i="4"/>
  <c r="N281" i="4"/>
  <c r="M281" i="4"/>
  <c r="N280" i="4"/>
  <c r="M280" i="4"/>
  <c r="N279" i="4"/>
  <c r="M279" i="4"/>
  <c r="N278" i="4"/>
  <c r="M278" i="4"/>
  <c r="N277" i="4"/>
  <c r="M277" i="4"/>
  <c r="N276" i="4"/>
  <c r="M276" i="4"/>
  <c r="N275" i="4"/>
  <c r="M275" i="4"/>
  <c r="N274" i="4"/>
  <c r="M274" i="4"/>
  <c r="N273" i="4"/>
  <c r="M273" i="4"/>
  <c r="N272" i="4"/>
  <c r="M272" i="4"/>
  <c r="N271" i="4"/>
  <c r="M271" i="4"/>
  <c r="N270" i="4"/>
  <c r="M270" i="4"/>
  <c r="N269" i="4"/>
  <c r="M269" i="4"/>
  <c r="N268" i="4"/>
  <c r="M268" i="4"/>
  <c r="N267" i="4"/>
  <c r="M267" i="4"/>
  <c r="N266" i="4"/>
  <c r="M266" i="4"/>
  <c r="N265" i="4"/>
  <c r="M265" i="4"/>
  <c r="N264" i="4"/>
  <c r="M264" i="4"/>
  <c r="N263" i="4"/>
  <c r="M263" i="4"/>
  <c r="N262" i="4"/>
  <c r="M262" i="4"/>
  <c r="N261" i="4"/>
  <c r="M261" i="4"/>
  <c r="N260" i="4"/>
  <c r="M260" i="4"/>
  <c r="N259" i="4"/>
  <c r="M259" i="4"/>
  <c r="N258" i="4"/>
  <c r="M258" i="4"/>
  <c r="N257" i="4"/>
  <c r="M257" i="4"/>
  <c r="N256" i="4"/>
  <c r="M256" i="4"/>
  <c r="N255" i="4"/>
  <c r="M255" i="4"/>
  <c r="N254" i="4"/>
  <c r="M254" i="4"/>
  <c r="N253" i="4"/>
  <c r="M253" i="4"/>
  <c r="N252" i="4"/>
  <c r="M252" i="4"/>
  <c r="N251" i="4"/>
  <c r="M251" i="4"/>
  <c r="N250" i="4"/>
  <c r="M250" i="4"/>
  <c r="N249" i="4"/>
  <c r="M249" i="4"/>
  <c r="N248" i="4"/>
  <c r="M248" i="4"/>
  <c r="N247" i="4"/>
  <c r="M247" i="4"/>
  <c r="N246" i="4"/>
  <c r="M246" i="4"/>
  <c r="N245" i="4"/>
  <c r="M245" i="4"/>
  <c r="N244" i="4"/>
  <c r="M244" i="4"/>
  <c r="N243" i="4"/>
  <c r="M243" i="4"/>
  <c r="N242" i="4"/>
  <c r="M242" i="4"/>
  <c r="N241" i="4"/>
  <c r="M241" i="4"/>
  <c r="N240" i="4"/>
  <c r="M240" i="4"/>
  <c r="N239" i="4"/>
  <c r="M239" i="4"/>
  <c r="N238" i="4"/>
  <c r="M238" i="4"/>
  <c r="N237" i="4"/>
  <c r="M237" i="4"/>
  <c r="N236" i="4"/>
  <c r="M236" i="4"/>
  <c r="N235" i="4"/>
  <c r="M235" i="4"/>
  <c r="N234" i="4"/>
  <c r="M234" i="4"/>
  <c r="N233" i="4"/>
  <c r="M233" i="4"/>
  <c r="N232" i="4"/>
  <c r="M232" i="4"/>
  <c r="N231" i="4"/>
  <c r="M231" i="4"/>
  <c r="N230" i="4"/>
  <c r="M230" i="4"/>
  <c r="N229" i="4"/>
  <c r="M229" i="4"/>
  <c r="N228" i="4"/>
  <c r="M228" i="4"/>
  <c r="N227" i="4"/>
  <c r="M227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5" i="4"/>
  <c r="M115" i="4"/>
  <c r="N114" i="4"/>
  <c r="M114" i="4"/>
  <c r="N113" i="4"/>
  <c r="M113" i="4"/>
  <c r="N112" i="4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M3" i="4"/>
  <c r="N2" i="4"/>
  <c r="M2" i="4"/>
  <c r="G40" i="1"/>
  <c r="F40" i="1"/>
  <c r="E40" i="1"/>
  <c r="D40" i="1"/>
  <c r="H40" i="1" s="1"/>
  <c r="I40" i="1" s="1"/>
  <c r="G39" i="1"/>
  <c r="F39" i="1"/>
  <c r="E39" i="1"/>
  <c r="D39" i="1"/>
  <c r="H39" i="1" s="1"/>
  <c r="I39" i="1" s="1"/>
  <c r="G38" i="1"/>
  <c r="F38" i="1"/>
  <c r="E38" i="1"/>
  <c r="D38" i="1"/>
  <c r="H38" i="1" s="1"/>
  <c r="I38" i="1" s="1"/>
  <c r="G37" i="1"/>
  <c r="F37" i="1"/>
  <c r="E37" i="1"/>
  <c r="D37" i="1"/>
  <c r="H37" i="1" s="1"/>
  <c r="I37" i="1" s="1"/>
  <c r="G36" i="1"/>
  <c r="F36" i="1"/>
  <c r="E36" i="1"/>
  <c r="D36" i="1"/>
  <c r="H36" i="1" s="1"/>
  <c r="I36" i="1" s="1"/>
  <c r="G35" i="1"/>
  <c r="F35" i="1"/>
  <c r="E35" i="1"/>
  <c r="D35" i="1"/>
  <c r="H35" i="1" s="1"/>
  <c r="I35" i="1" s="1"/>
  <c r="G34" i="1"/>
  <c r="F34" i="1"/>
  <c r="E34" i="1"/>
  <c r="D34" i="1"/>
  <c r="H34" i="1" s="1"/>
  <c r="I34" i="1" s="1"/>
  <c r="G33" i="1"/>
  <c r="F33" i="1"/>
  <c r="E33" i="1"/>
  <c r="D33" i="1"/>
  <c r="H33" i="1" s="1"/>
  <c r="I33" i="1" s="1"/>
  <c r="G32" i="1"/>
  <c r="F32" i="1"/>
  <c r="E32" i="1"/>
  <c r="D32" i="1"/>
  <c r="H32" i="1" s="1"/>
  <c r="I32" i="1" s="1"/>
  <c r="G31" i="1"/>
  <c r="F31" i="1"/>
  <c r="E31" i="1"/>
  <c r="D31" i="1"/>
  <c r="H31" i="1" s="1"/>
  <c r="I31" i="1" s="1"/>
  <c r="G30" i="1"/>
  <c r="F30" i="1"/>
  <c r="E30" i="1"/>
  <c r="D30" i="1"/>
  <c r="H30" i="1" s="1"/>
  <c r="I30" i="1" s="1"/>
  <c r="G29" i="1"/>
  <c r="F29" i="1"/>
  <c r="E29" i="1"/>
  <c r="D29" i="1"/>
  <c r="H29" i="1" s="1"/>
  <c r="I29" i="1" s="1"/>
  <c r="G28" i="1"/>
  <c r="F28" i="1"/>
  <c r="E28" i="1"/>
  <c r="D28" i="1"/>
  <c r="H28" i="1" s="1"/>
  <c r="I28" i="1" s="1"/>
  <c r="G27" i="1"/>
  <c r="F27" i="1"/>
  <c r="E27" i="1"/>
  <c r="D27" i="1"/>
  <c r="H27" i="1" s="1"/>
  <c r="I27" i="1" s="1"/>
  <c r="H26" i="1"/>
  <c r="I26" i="1" s="1"/>
  <c r="G26" i="1"/>
  <c r="F26" i="1"/>
  <c r="E26" i="1"/>
  <c r="D26" i="1"/>
  <c r="G25" i="1"/>
  <c r="F25" i="1"/>
  <c r="E25" i="1"/>
  <c r="D25" i="1"/>
  <c r="H25" i="1" s="1"/>
  <c r="I25" i="1" s="1"/>
  <c r="G24" i="1"/>
  <c r="F24" i="1"/>
  <c r="E24" i="1"/>
  <c r="D24" i="1"/>
  <c r="H24" i="1" s="1"/>
  <c r="I24" i="1" s="1"/>
  <c r="G23" i="1"/>
  <c r="F23" i="1"/>
  <c r="E23" i="1"/>
  <c r="D23" i="1"/>
  <c r="H23" i="1" s="1"/>
  <c r="I23" i="1" s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E10" i="1"/>
  <c r="B10" i="1"/>
  <c r="E9" i="1"/>
  <c r="B9" i="1"/>
  <c r="E8" i="1"/>
  <c r="B8" i="1"/>
  <c r="E7" i="1"/>
  <c r="B7" i="1"/>
  <c r="B11" i="1" s="1"/>
  <c r="B12" i="1" s="1"/>
  <c r="E6" i="1"/>
  <c r="B6" i="1"/>
  <c r="B5" i="1"/>
</calcChain>
</file>

<file path=xl/sharedStrings.xml><?xml version="1.0" encoding="utf-8"?>
<sst xmlns="http://schemas.openxmlformats.org/spreadsheetml/2006/main" count="3126" uniqueCount="140">
  <si>
    <t>CONTROL AUTOMÁTICO DE ASISTENCIA - DATASET BASE PARA JENKINS</t>
  </si>
  <si>
    <t>Objetivo</t>
  </si>
  <si>
    <t>Base de datos lista para detectar faltas, tardanzas, incidencias y generar un PDF automático.</t>
  </si>
  <si>
    <t>Periodo</t>
  </si>
  <si>
    <t>Febrero 2026</t>
  </si>
  <si>
    <t>Total de registros</t>
  </si>
  <si>
    <t>Estado</t>
  </si>
  <si>
    <t>Cantidad</t>
  </si>
  <si>
    <t>Asistencias</t>
  </si>
  <si>
    <t>Asistencia</t>
  </si>
  <si>
    <t>Tardanzas</t>
  </si>
  <si>
    <t>Tardanza</t>
  </si>
  <si>
    <t>Faltas</t>
  </si>
  <si>
    <t>Falta</t>
  </si>
  <si>
    <t>Permisos</t>
  </si>
  <si>
    <t>Permiso</t>
  </si>
  <si>
    <t>Vacaciones</t>
  </si>
  <si>
    <t>Incidencias</t>
  </si>
  <si>
    <t>Tasa de incidencia</t>
  </si>
  <si>
    <t>Área</t>
  </si>
  <si>
    <t>Registros</t>
  </si>
  <si>
    <t>Comercial</t>
  </si>
  <si>
    <t>Finanzas</t>
  </si>
  <si>
    <t>Operaciones</t>
  </si>
  <si>
    <t>RRHH</t>
  </si>
  <si>
    <t>TI</t>
  </si>
  <si>
    <t>ID_Empleado</t>
  </si>
  <si>
    <t>Nombre</t>
  </si>
  <si>
    <t>Total incidencias</t>
  </si>
  <si>
    <t>Asistencia %</t>
  </si>
  <si>
    <t>EMP001</t>
  </si>
  <si>
    <t>Ana Torres</t>
  </si>
  <si>
    <t>EMP002</t>
  </si>
  <si>
    <t>Luis Mendoza</t>
  </si>
  <si>
    <t>EMP003</t>
  </si>
  <si>
    <t>Carla Rojas</t>
  </si>
  <si>
    <t>EMP004</t>
  </si>
  <si>
    <t>Jorge Salazar</t>
  </si>
  <si>
    <t>EMP005</t>
  </si>
  <si>
    <t>María Paredes</t>
  </si>
  <si>
    <t>EMP006</t>
  </si>
  <si>
    <t>Pedro Huamán</t>
  </si>
  <si>
    <t>EMP007</t>
  </si>
  <si>
    <t>Daniela Núñez</t>
  </si>
  <si>
    <t>EMP008</t>
  </si>
  <si>
    <t>Carlos Mejía</t>
  </si>
  <si>
    <t>EMP009</t>
  </si>
  <si>
    <t>Valeria Soto</t>
  </si>
  <si>
    <t>EMP010</t>
  </si>
  <si>
    <t>Miguel Chávez</t>
  </si>
  <si>
    <t>EMP011</t>
  </si>
  <si>
    <t>Sofía Quispe</t>
  </si>
  <si>
    <t>EMP012</t>
  </si>
  <si>
    <t>Ricardo León</t>
  </si>
  <si>
    <t>EMP013</t>
  </si>
  <si>
    <t>Camila Vega</t>
  </si>
  <si>
    <t>EMP014</t>
  </si>
  <si>
    <t>José Cárdenas</t>
  </si>
  <si>
    <t>EMP015</t>
  </si>
  <si>
    <t>Lucía Herrera</t>
  </si>
  <si>
    <t>EMP016</t>
  </si>
  <si>
    <t>Andrés Flores</t>
  </si>
  <si>
    <t>EMP017</t>
  </si>
  <si>
    <t>Paola Rivas</t>
  </si>
  <si>
    <t>EMP018</t>
  </si>
  <si>
    <t>Héctor Ramos</t>
  </si>
  <si>
    <t>Nota</t>
  </si>
  <si>
    <t>La columna Minutos_Tardanza considera una tolerancia de 10 minutos según la hoja Parametros.</t>
  </si>
  <si>
    <t>Parámetro</t>
  </si>
  <si>
    <t>Valor</t>
  </si>
  <si>
    <t>Descripción</t>
  </si>
  <si>
    <t>Mes base del dataset</t>
  </si>
  <si>
    <t>Hora_Entrada_Estandar</t>
  </si>
  <si>
    <t>Horario estándar de ingreso</t>
  </si>
  <si>
    <t>Tolerancia_Tardanza</t>
  </si>
  <si>
    <t>Minutos permitidos antes de considerar tardanza</t>
  </si>
  <si>
    <t>Hora_Salida_Estandar</t>
  </si>
  <si>
    <t>Horario estándar de salida</t>
  </si>
  <si>
    <t>Dias_Habiles_Considerados</t>
  </si>
  <si>
    <t>Cantidad de días laborables del periodo</t>
  </si>
  <si>
    <t>Regla_Falta</t>
  </si>
  <si>
    <t>Sin marcación y sin permiso/vacaciones</t>
  </si>
  <si>
    <t>Criterio usado en el proyecto</t>
  </si>
  <si>
    <t>Regla_Incidencia</t>
  </si>
  <si>
    <t>Tardanza, Falta, Permiso o Vacaciones</t>
  </si>
  <si>
    <t>Clasificación para el resumen</t>
  </si>
  <si>
    <t>Cargo</t>
  </si>
  <si>
    <t>Sede</t>
  </si>
  <si>
    <t>Perfil_Riesgo</t>
  </si>
  <si>
    <t>Analista de RRHH</t>
  </si>
  <si>
    <t>Lima</t>
  </si>
  <si>
    <t>Bajo</t>
  </si>
  <si>
    <t>Supervisor de Operaciones</t>
  </si>
  <si>
    <t>Alto</t>
  </si>
  <si>
    <t>Asistente Contable</t>
  </si>
  <si>
    <t>Soporte TI</t>
  </si>
  <si>
    <t>Medio</t>
  </si>
  <si>
    <t>Ejecutiva Comercial</t>
  </si>
  <si>
    <t>Analista de Campo</t>
  </si>
  <si>
    <t>Callao</t>
  </si>
  <si>
    <t>Coordinadora de RRHH</t>
  </si>
  <si>
    <t>Desarrollador Junior</t>
  </si>
  <si>
    <t>Analista de Tesorería</t>
  </si>
  <si>
    <t>Asesor de Ventas</t>
  </si>
  <si>
    <t>Surco</t>
  </si>
  <si>
    <t>Asistente Operativo</t>
  </si>
  <si>
    <t>Administrador de Sistemas</t>
  </si>
  <si>
    <t>Analista Comercial</t>
  </si>
  <si>
    <t>Técnico de Operaciones</t>
  </si>
  <si>
    <t>Analista Financiera</t>
  </si>
  <si>
    <t>Auxiliar de Planillas</t>
  </si>
  <si>
    <t>Coordinadora Comercial</t>
  </si>
  <si>
    <t>QA Tester</t>
  </si>
  <si>
    <t>Fecha</t>
  </si>
  <si>
    <t>Hora_Entrada_Programada</t>
  </si>
  <si>
    <t>Hora_Entrada_Real</t>
  </si>
  <si>
    <t>Hora_Salida_Programada</t>
  </si>
  <si>
    <t>Hora_Salida_Real</t>
  </si>
  <si>
    <t>Minutos_Tardanza</t>
  </si>
  <si>
    <t>Incidencia</t>
  </si>
  <si>
    <t>Lunes</t>
  </si>
  <si>
    <t>Demora de transporte</t>
  </si>
  <si>
    <t>Tráfico</t>
  </si>
  <si>
    <t>Registro biométrico correcto</t>
  </si>
  <si>
    <t>Sin novedades</t>
  </si>
  <si>
    <t>Jornada normal</t>
  </si>
  <si>
    <t>Martes</t>
  </si>
  <si>
    <t>Miércoles</t>
  </si>
  <si>
    <t>Sin justificar</t>
  </si>
  <si>
    <t>Ingreso fuera de tolerancia</t>
  </si>
  <si>
    <t>Jueves</t>
  </si>
  <si>
    <t>Viernes</t>
  </si>
  <si>
    <t>Inasistencia registrada</t>
  </si>
  <si>
    <t>Capacitación externa</t>
  </si>
  <si>
    <t>Vacaciones programadas</t>
  </si>
  <si>
    <t>Trámite personal</t>
  </si>
  <si>
    <t>Permiso médico</t>
  </si>
  <si>
    <t>Observacion</t>
  </si>
  <si>
    <t>Dia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</si>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</sst>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h:mm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3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1" fontId="0" fillId="0" borderId="1" xfId="0" applyNumberFormat="1" applyBorder="1"/>
    <xf numFmtId="0" fontId="2" fillId="4" borderId="0" xfId="0" applyFont="1" applyFill="1"/>
    <xf numFmtId="1" fontId="0" fillId="0" borderId="0" xfId="0" applyNumberFormat="1"/>
    <xf numFmtId="165" fontId="0" fillId="0" borderId="1" xfId="0" applyNumberFormat="1" applyBorder="1"/>
    <xf numFmtId="0" fontId="2" fillId="4" borderId="1" xfId="0" applyFont="1" applyFill="1" applyBorder="1"/>
    <xf numFmtId="0" fontId="0" fillId="0" borderId="1" xfId="0" applyBorder="1"/>
    <xf numFmtId="0" fontId="4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E2F0D9"/>
        </patternFill>
      </fill>
    </dxf>
    <dxf>
      <fill>
        <patternFill>
          <bgColor rgb="FFD9EAF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tableStyles count="1" defaultTableStyle="TableStyleMedium2" defaultPivotStyle="PivotStyleLight16">
    <tableStyle name="Invisible" pivot="0" table="0" count="0" xr9:uid="{71D10631-06DD-4481-BAE9-E57B36D5F8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empleados" displayName="tbl_empleados" ref="A1:F19">
  <autoFilter ref="A1:F19" xr:uid="{00000000-0009-0000-0100-000001000000}"/>
  <tableColumns count="6">
    <tableColumn id="1" xr3:uid="{00000000-0010-0000-0000-000001000000}" name="ID_Empleado"/>
    <tableColumn id="2" xr3:uid="{00000000-0010-0000-0000-000002000000}" name="Nombre"/>
    <tableColumn id="3" xr3:uid="{00000000-0010-0000-0000-000003000000}" name="Área"/>
    <tableColumn id="4" xr3:uid="{00000000-0010-0000-0000-000004000000}" name="Cargo"/>
    <tableColumn id="5" xr3:uid="{00000000-0010-0000-0000-000005000000}" name="Sede"/>
    <tableColumn id="6" xr3:uid="{00000000-0010-0000-0000-000006000000}" name="Perfil_Ries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asistencia" displayName="tbl_asistencia" ref="A1:O361">
  <autoFilter ref="A1:O361" xr:uid="{00000000-0009-0000-0100-000002000000}"/>
  <tableColumns count="15">
    <tableColumn id="1" xr3:uid="{00000000-0010-0000-0100-000001000000}" name="Fecha"/>
    <tableColumn id="2" xr3:uid="{00000000-0010-0000-0100-000002000000}" name="Dia"/>
    <tableColumn id="3" xr3:uid="{00000000-0010-0000-0100-000003000000}" name="ID_Empleado"/>
    <tableColumn id="4" xr3:uid="{00000000-0010-0000-0100-000004000000}" name="Nombre"/>
    <tableColumn id="5" xr3:uid="{00000000-0010-0000-0100-000005000000}" name="Area"/>
    <tableColumn id="6" xr3:uid="{00000000-0010-0000-0100-000006000000}" name="Cargo"/>
    <tableColumn id="7" xr3:uid="{00000000-0010-0000-0100-000007000000}" name="Sede"/>
    <tableColumn id="8" xr3:uid="{00000000-0010-0000-0100-000008000000}" name="Hora_Entrada_Programada"/>
    <tableColumn id="9" xr3:uid="{00000000-0010-0000-0100-000009000000}" name="Hora_Entrada_Real"/>
    <tableColumn id="10" xr3:uid="{00000000-0010-0000-0100-00000A000000}" name="Hora_Salida_Programada"/>
    <tableColumn id="11" xr3:uid="{00000000-0010-0000-0100-00000B000000}" name="Hora_Salida_Real"/>
    <tableColumn id="12" xr3:uid="{00000000-0010-0000-0100-00000C000000}" name="Estado"/>
    <tableColumn id="13" xr3:uid="{00000000-0010-0000-0100-00000D000000}" name="Minutos_Tardanza"/>
    <tableColumn id="14" xr3:uid="{00000000-0010-0000-0100-00000E000000}" name="Incidencia"/>
    <tableColumn id="15" xr3:uid="{00000000-0010-0000-0100-00000F000000}" name="Observ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activeCell="B43" sqref="B43"/>
    </sheetView>
  </sheetViews>
  <sheetFormatPr baseColWidth="10" defaultColWidth="8.88671875" defaultRowHeight="14.4" x14ac:dyDescent="0.3"/>
  <cols>
    <col min="1" max="1" width="22" customWidth="1"/>
    <col min="2" max="3" width="18" customWidth="1"/>
    <col min="4" max="4" width="14" customWidth="1"/>
    <col min="5" max="6" width="12" customWidth="1"/>
    <col min="7" max="7" width="14" customWidth="1"/>
    <col min="8" max="8" width="16" customWidth="1"/>
    <col min="9" max="9" width="14" customWidth="1"/>
  </cols>
  <sheetData>
    <row r="1" spans="1:7" ht="17.399999999999999" x14ac:dyDescent="0.35">
      <c r="A1" s="14" t="s">
        <v>0</v>
      </c>
      <c r="B1" s="15"/>
      <c r="C1" s="15"/>
      <c r="D1" s="15"/>
      <c r="E1" s="15"/>
      <c r="F1" s="15"/>
    </row>
    <row r="2" spans="1:7" x14ac:dyDescent="0.3">
      <c r="A2" s="1" t="s">
        <v>1</v>
      </c>
      <c r="B2" t="s">
        <v>2</v>
      </c>
    </row>
    <row r="3" spans="1:7" x14ac:dyDescent="0.3">
      <c r="A3" s="1" t="s">
        <v>3</v>
      </c>
      <c r="B3" t="s">
        <v>4</v>
      </c>
    </row>
    <row r="5" spans="1:7" x14ac:dyDescent="0.3">
      <c r="A5" s="2" t="s">
        <v>5</v>
      </c>
      <c r="B5" s="3">
        <f>COUNTA(Asistencia_Febrero_2026!A2:A361)</f>
        <v>360</v>
      </c>
      <c r="D5" s="4" t="s">
        <v>6</v>
      </c>
      <c r="E5" s="4" t="s">
        <v>7</v>
      </c>
    </row>
    <row r="6" spans="1:7" x14ac:dyDescent="0.3">
      <c r="A6" s="2" t="s">
        <v>8</v>
      </c>
      <c r="B6" s="3">
        <f>COUNTIF(Asistencia_Febrero_2026!L2:L361,"Asistencia")</f>
        <v>293</v>
      </c>
      <c r="D6" t="s">
        <v>9</v>
      </c>
      <c r="E6" s="5">
        <f>COUNTIF(Asistencia_Febrero_2026!L2:L361,"Asistencia")</f>
        <v>293</v>
      </c>
    </row>
    <row r="7" spans="1:7" x14ac:dyDescent="0.3">
      <c r="A7" s="2" t="s">
        <v>10</v>
      </c>
      <c r="B7" s="3">
        <f>COUNTIF(Asistencia_Febrero_2026!L2:L361,"Tardanza")</f>
        <v>42</v>
      </c>
      <c r="D7" t="s">
        <v>11</v>
      </c>
      <c r="E7" s="5">
        <f>COUNTIF(Asistencia_Febrero_2026!L2:L361,"Tardanza")</f>
        <v>42</v>
      </c>
    </row>
    <row r="8" spans="1:7" x14ac:dyDescent="0.3">
      <c r="A8" s="2" t="s">
        <v>12</v>
      </c>
      <c r="B8" s="3">
        <f>COUNTIF(Asistencia_Febrero_2026!L2:L361,"Falta")</f>
        <v>7</v>
      </c>
      <c r="D8" t="s">
        <v>13</v>
      </c>
      <c r="E8" s="5">
        <f>COUNTIF(Asistencia_Febrero_2026!L2:L361,"Falta")</f>
        <v>7</v>
      </c>
    </row>
    <row r="9" spans="1:7" x14ac:dyDescent="0.3">
      <c r="A9" s="2" t="s">
        <v>14</v>
      </c>
      <c r="B9" s="3">
        <f>COUNTIF(Asistencia_Febrero_2026!L2:L361,"Permiso")</f>
        <v>8</v>
      </c>
      <c r="D9" t="s">
        <v>15</v>
      </c>
      <c r="E9" s="5">
        <f>COUNTIF(Asistencia_Febrero_2026!L2:L361,"Permiso")</f>
        <v>8</v>
      </c>
    </row>
    <row r="10" spans="1:7" x14ac:dyDescent="0.3">
      <c r="A10" s="2" t="s">
        <v>16</v>
      </c>
      <c r="B10" s="3">
        <f>COUNTIF(Asistencia_Febrero_2026!L2:L361,"Vacaciones")</f>
        <v>10</v>
      </c>
      <c r="D10" t="s">
        <v>16</v>
      </c>
      <c r="E10" s="5">
        <f>COUNTIF(Asistencia_Febrero_2026!L2:L361,"Vacaciones")</f>
        <v>10</v>
      </c>
    </row>
    <row r="11" spans="1:7" x14ac:dyDescent="0.3">
      <c r="A11" s="2" t="s">
        <v>17</v>
      </c>
      <c r="B11" s="3">
        <f>SUM(B7:B10)</f>
        <v>67</v>
      </c>
    </row>
    <row r="12" spans="1:7" x14ac:dyDescent="0.3">
      <c r="A12" s="2" t="s">
        <v>18</v>
      </c>
      <c r="B12" s="6">
        <f>B11/B5</f>
        <v>0.18611111111111112</v>
      </c>
    </row>
    <row r="14" spans="1:7" x14ac:dyDescent="0.3">
      <c r="A14" s="7" t="s">
        <v>19</v>
      </c>
      <c r="B14" s="7" t="s">
        <v>20</v>
      </c>
      <c r="C14" s="7" t="s">
        <v>8</v>
      </c>
      <c r="D14" s="7" t="s">
        <v>10</v>
      </c>
      <c r="E14" s="7" t="s">
        <v>12</v>
      </c>
      <c r="F14" s="7" t="s">
        <v>14</v>
      </c>
      <c r="G14" s="7" t="s">
        <v>16</v>
      </c>
    </row>
    <row r="15" spans="1:7" x14ac:dyDescent="0.3">
      <c r="A15" s="8" t="s">
        <v>21</v>
      </c>
      <c r="B15" s="8">
        <f>COUNTIF(Asistencia_Febrero_2026!E:E,A15)</f>
        <v>80</v>
      </c>
      <c r="C15" s="8">
        <f>COUNTIFS(Asistencia_Febrero_2026!E:E,A15,Asistencia_Febrero_2026!L:L,"Asistencia")</f>
        <v>67</v>
      </c>
      <c r="D15" s="8">
        <f>COUNTIFS(Asistencia_Febrero_2026!E:E,A15,Asistencia_Febrero_2026!L:L,"Tardanza")</f>
        <v>9</v>
      </c>
      <c r="E15" s="8">
        <f>COUNTIFS(Asistencia_Febrero_2026!E:E,A15,Asistencia_Febrero_2026!L:L,"Falta")</f>
        <v>2</v>
      </c>
      <c r="F15" s="8">
        <f>COUNTIFS(Asistencia_Febrero_2026!E:E,A15,Asistencia_Febrero_2026!L:L,"Permiso")</f>
        <v>2</v>
      </c>
      <c r="G15" s="8">
        <f>COUNTIFS(Asistencia_Febrero_2026!E:E,A15,Asistencia_Febrero_2026!L:L,"Vacaciones")</f>
        <v>0</v>
      </c>
    </row>
    <row r="16" spans="1:7" x14ac:dyDescent="0.3">
      <c r="A16" s="8" t="s">
        <v>22</v>
      </c>
      <c r="B16" s="8">
        <f>COUNTIF(Asistencia_Febrero_2026!E:E,A16)</f>
        <v>60</v>
      </c>
      <c r="C16" s="8">
        <f>COUNTIFS(Asistencia_Febrero_2026!E:E,A16,Asistencia_Febrero_2026!L:L,"Asistencia")</f>
        <v>47</v>
      </c>
      <c r="D16" s="8">
        <f>COUNTIFS(Asistencia_Febrero_2026!E:E,A16,Asistencia_Febrero_2026!L:L,"Tardanza")</f>
        <v>2</v>
      </c>
      <c r="E16" s="8">
        <f>COUNTIFS(Asistencia_Febrero_2026!E:E,A16,Asistencia_Febrero_2026!L:L,"Falta")</f>
        <v>1</v>
      </c>
      <c r="F16" s="8">
        <f>COUNTIFS(Asistencia_Febrero_2026!E:E,A16,Asistencia_Febrero_2026!L:L,"Permiso")</f>
        <v>0</v>
      </c>
      <c r="G16" s="8">
        <f>COUNTIFS(Asistencia_Febrero_2026!E:E,A16,Asistencia_Febrero_2026!L:L,"Vacaciones")</f>
        <v>10</v>
      </c>
    </row>
    <row r="17" spans="1:9" x14ac:dyDescent="0.3">
      <c r="A17" s="8" t="s">
        <v>23</v>
      </c>
      <c r="B17" s="8">
        <f>COUNTIF(Asistencia_Febrero_2026!E:E,A17)</f>
        <v>80</v>
      </c>
      <c r="C17" s="8">
        <f>COUNTIFS(Asistencia_Febrero_2026!E:E,A17,Asistencia_Febrero_2026!L:L,"Asistencia")</f>
        <v>57</v>
      </c>
      <c r="D17" s="8">
        <f>COUNTIFS(Asistencia_Febrero_2026!E:E,A17,Asistencia_Febrero_2026!L:L,"Tardanza")</f>
        <v>16</v>
      </c>
      <c r="E17" s="8">
        <f>COUNTIFS(Asistencia_Febrero_2026!E:E,A17,Asistencia_Febrero_2026!L:L,"Falta")</f>
        <v>4</v>
      </c>
      <c r="F17" s="8">
        <f>COUNTIFS(Asistencia_Febrero_2026!E:E,A17,Asistencia_Febrero_2026!L:L,"Permiso")</f>
        <v>3</v>
      </c>
      <c r="G17" s="8">
        <f>COUNTIFS(Asistencia_Febrero_2026!E:E,A17,Asistencia_Febrero_2026!L:L,"Vacaciones")</f>
        <v>0</v>
      </c>
    </row>
    <row r="18" spans="1:9" x14ac:dyDescent="0.3">
      <c r="A18" s="8" t="s">
        <v>24</v>
      </c>
      <c r="B18" s="8">
        <f>COUNTIF(Asistencia_Febrero_2026!E:E,A18)</f>
        <v>60</v>
      </c>
      <c r="C18" s="8">
        <f>COUNTIFS(Asistencia_Febrero_2026!E:E,A18,Asistencia_Febrero_2026!L:L,"Asistencia")</f>
        <v>55</v>
      </c>
      <c r="D18" s="8">
        <f>COUNTIFS(Asistencia_Febrero_2026!E:E,A18,Asistencia_Febrero_2026!L:L,"Tardanza")</f>
        <v>5</v>
      </c>
      <c r="E18" s="8">
        <f>COUNTIFS(Asistencia_Febrero_2026!E:E,A18,Asistencia_Febrero_2026!L:L,"Falta")</f>
        <v>0</v>
      </c>
      <c r="F18" s="8">
        <f>COUNTIFS(Asistencia_Febrero_2026!E:E,A18,Asistencia_Febrero_2026!L:L,"Permiso")</f>
        <v>0</v>
      </c>
      <c r="G18" s="8">
        <f>COUNTIFS(Asistencia_Febrero_2026!E:E,A18,Asistencia_Febrero_2026!L:L,"Vacaciones")</f>
        <v>0</v>
      </c>
    </row>
    <row r="19" spans="1:9" x14ac:dyDescent="0.3">
      <c r="A19" s="8" t="s">
        <v>25</v>
      </c>
      <c r="B19" s="8">
        <f>COUNTIF(Asistencia_Febrero_2026!E:E,A19)</f>
        <v>80</v>
      </c>
      <c r="C19" s="8">
        <f>COUNTIFS(Asistencia_Febrero_2026!E:E,A19,Asistencia_Febrero_2026!L:L,"Asistencia")</f>
        <v>67</v>
      </c>
      <c r="D19" s="8">
        <f>COUNTIFS(Asistencia_Febrero_2026!E:E,A19,Asistencia_Febrero_2026!L:L,"Tardanza")</f>
        <v>10</v>
      </c>
      <c r="E19" s="8">
        <f>COUNTIFS(Asistencia_Febrero_2026!E:E,A19,Asistencia_Febrero_2026!L:L,"Falta")</f>
        <v>0</v>
      </c>
      <c r="F19" s="8">
        <f>COUNTIFS(Asistencia_Febrero_2026!E:E,A19,Asistencia_Febrero_2026!L:L,"Permiso")</f>
        <v>3</v>
      </c>
      <c r="G19" s="8">
        <f>COUNTIFS(Asistencia_Febrero_2026!E:E,A19,Asistencia_Febrero_2026!L:L,"Vacaciones")</f>
        <v>0</v>
      </c>
    </row>
    <row r="22" spans="1:9" x14ac:dyDescent="0.3">
      <c r="A22" s="7" t="s">
        <v>26</v>
      </c>
      <c r="B22" s="7" t="s">
        <v>27</v>
      </c>
      <c r="C22" s="7" t="s">
        <v>19</v>
      </c>
      <c r="D22" s="7" t="s">
        <v>10</v>
      </c>
      <c r="E22" s="7" t="s">
        <v>12</v>
      </c>
      <c r="F22" s="7" t="s">
        <v>14</v>
      </c>
      <c r="G22" s="7" t="s">
        <v>16</v>
      </c>
      <c r="H22" s="7" t="s">
        <v>28</v>
      </c>
      <c r="I22" s="7" t="s">
        <v>29</v>
      </c>
    </row>
    <row r="23" spans="1:9" x14ac:dyDescent="0.3">
      <c r="A23" s="8" t="s">
        <v>30</v>
      </c>
      <c r="B23" s="8" t="s">
        <v>31</v>
      </c>
      <c r="C23" s="8" t="s">
        <v>24</v>
      </c>
      <c r="D23" s="8">
        <f>COUNTIFS(Asistencia_Febrero_2026!C:C,A23,Asistencia_Febrero_2026!L:L,"Tardanza")</f>
        <v>2</v>
      </c>
      <c r="E23" s="8">
        <f>COUNTIFS(Asistencia_Febrero_2026!C:C,A23,Asistencia_Febrero_2026!L:L,"Falta")</f>
        <v>0</v>
      </c>
      <c r="F23" s="8">
        <f>COUNTIFS(Asistencia_Febrero_2026!C:C,A23,Asistencia_Febrero_2026!L:L,"Permiso")</f>
        <v>0</v>
      </c>
      <c r="G23" s="8">
        <f>COUNTIFS(Asistencia_Febrero_2026!C:C,A23,Asistencia_Febrero_2026!L:L,"Vacaciones")</f>
        <v>0</v>
      </c>
      <c r="H23" s="8">
        <f t="shared" ref="H23:H40" si="0">SUM(D23:G23)</f>
        <v>2</v>
      </c>
      <c r="I23" s="6">
        <f>1-(H23/Parametros!$B$6)</f>
        <v>0.9</v>
      </c>
    </row>
    <row r="24" spans="1:9" x14ac:dyDescent="0.3">
      <c r="A24" s="8" t="s">
        <v>32</v>
      </c>
      <c r="B24" s="8" t="s">
        <v>33</v>
      </c>
      <c r="C24" s="8" t="s">
        <v>23</v>
      </c>
      <c r="D24" s="8">
        <f>COUNTIFS(Asistencia_Febrero_2026!C:C,A24,Asistencia_Febrero_2026!L:L,"Tardanza")</f>
        <v>3</v>
      </c>
      <c r="E24" s="8">
        <f>COUNTIFS(Asistencia_Febrero_2026!C:C,A24,Asistencia_Febrero_2026!L:L,"Falta")</f>
        <v>0</v>
      </c>
      <c r="F24" s="8">
        <f>COUNTIFS(Asistencia_Febrero_2026!C:C,A24,Asistencia_Febrero_2026!L:L,"Permiso")</f>
        <v>1</v>
      </c>
      <c r="G24" s="8">
        <f>COUNTIFS(Asistencia_Febrero_2026!C:C,A24,Asistencia_Febrero_2026!L:L,"Vacaciones")</f>
        <v>0</v>
      </c>
      <c r="H24" s="8">
        <f t="shared" si="0"/>
        <v>4</v>
      </c>
      <c r="I24" s="6">
        <f>1-(H24/Parametros!$B$6)</f>
        <v>0.8</v>
      </c>
    </row>
    <row r="25" spans="1:9" x14ac:dyDescent="0.3">
      <c r="A25" s="8" t="s">
        <v>34</v>
      </c>
      <c r="B25" s="8" t="s">
        <v>35</v>
      </c>
      <c r="C25" s="8" t="s">
        <v>22</v>
      </c>
      <c r="D25" s="8">
        <f>COUNTIFS(Asistencia_Febrero_2026!C:C,A25,Asistencia_Febrero_2026!L:L,"Tardanza")</f>
        <v>2</v>
      </c>
      <c r="E25" s="8">
        <f>COUNTIFS(Asistencia_Febrero_2026!C:C,A25,Asistencia_Febrero_2026!L:L,"Falta")</f>
        <v>1</v>
      </c>
      <c r="F25" s="8">
        <f>COUNTIFS(Asistencia_Febrero_2026!C:C,A25,Asistencia_Febrero_2026!L:L,"Permiso")</f>
        <v>0</v>
      </c>
      <c r="G25" s="8">
        <f>COUNTIFS(Asistencia_Febrero_2026!C:C,A25,Asistencia_Febrero_2026!L:L,"Vacaciones")</f>
        <v>0</v>
      </c>
      <c r="H25" s="8">
        <f t="shared" si="0"/>
        <v>3</v>
      </c>
      <c r="I25" s="6">
        <f>1-(H25/Parametros!$B$6)</f>
        <v>0.85</v>
      </c>
    </row>
    <row r="26" spans="1:9" x14ac:dyDescent="0.3">
      <c r="A26" s="8" t="s">
        <v>36</v>
      </c>
      <c r="B26" s="8" t="s">
        <v>37</v>
      </c>
      <c r="C26" s="8" t="s">
        <v>25</v>
      </c>
      <c r="D26" s="8">
        <f>COUNTIFS(Asistencia_Febrero_2026!C:C,A26,Asistencia_Febrero_2026!L:L,"Tardanza")</f>
        <v>2</v>
      </c>
      <c r="E26" s="8">
        <f>COUNTIFS(Asistencia_Febrero_2026!C:C,A26,Asistencia_Febrero_2026!L:L,"Falta")</f>
        <v>0</v>
      </c>
      <c r="F26" s="8">
        <f>COUNTIFS(Asistencia_Febrero_2026!C:C,A26,Asistencia_Febrero_2026!L:L,"Permiso")</f>
        <v>1</v>
      </c>
      <c r="G26" s="8">
        <f>COUNTIFS(Asistencia_Febrero_2026!C:C,A26,Asistencia_Febrero_2026!L:L,"Vacaciones")</f>
        <v>0</v>
      </c>
      <c r="H26" s="8">
        <f t="shared" si="0"/>
        <v>3</v>
      </c>
      <c r="I26" s="6">
        <f>1-(H26/Parametros!$B$6)</f>
        <v>0.85</v>
      </c>
    </row>
    <row r="27" spans="1:9" x14ac:dyDescent="0.3">
      <c r="A27" s="8" t="s">
        <v>38</v>
      </c>
      <c r="B27" s="8" t="s">
        <v>39</v>
      </c>
      <c r="C27" s="8" t="s">
        <v>21</v>
      </c>
      <c r="D27" s="8">
        <f>COUNTIFS(Asistencia_Febrero_2026!C:C,A27,Asistencia_Febrero_2026!L:L,"Tardanza")</f>
        <v>4</v>
      </c>
      <c r="E27" s="8">
        <f>COUNTIFS(Asistencia_Febrero_2026!C:C,A27,Asistencia_Febrero_2026!L:L,"Falta")</f>
        <v>1</v>
      </c>
      <c r="F27" s="8">
        <f>COUNTIFS(Asistencia_Febrero_2026!C:C,A27,Asistencia_Febrero_2026!L:L,"Permiso")</f>
        <v>0</v>
      </c>
      <c r="G27" s="8">
        <f>COUNTIFS(Asistencia_Febrero_2026!C:C,A27,Asistencia_Febrero_2026!L:L,"Vacaciones")</f>
        <v>0</v>
      </c>
      <c r="H27" s="8">
        <f t="shared" si="0"/>
        <v>5</v>
      </c>
      <c r="I27" s="6">
        <f>1-(H27/Parametros!$B$6)</f>
        <v>0.75</v>
      </c>
    </row>
    <row r="28" spans="1:9" x14ac:dyDescent="0.3">
      <c r="A28" s="8" t="s">
        <v>40</v>
      </c>
      <c r="B28" s="8" t="s">
        <v>41</v>
      </c>
      <c r="C28" s="8" t="s">
        <v>23</v>
      </c>
      <c r="D28" s="8">
        <f>COUNTIFS(Asistencia_Febrero_2026!C:C,A28,Asistencia_Febrero_2026!L:L,"Tardanza")</f>
        <v>7</v>
      </c>
      <c r="E28" s="8">
        <f>COUNTIFS(Asistencia_Febrero_2026!C:C,A28,Asistencia_Febrero_2026!L:L,"Falta")</f>
        <v>1</v>
      </c>
      <c r="F28" s="8">
        <f>COUNTIFS(Asistencia_Febrero_2026!C:C,A28,Asistencia_Febrero_2026!L:L,"Permiso")</f>
        <v>1</v>
      </c>
      <c r="G28" s="8">
        <f>COUNTIFS(Asistencia_Febrero_2026!C:C,A28,Asistencia_Febrero_2026!L:L,"Vacaciones")</f>
        <v>0</v>
      </c>
      <c r="H28" s="8">
        <f t="shared" si="0"/>
        <v>9</v>
      </c>
      <c r="I28" s="6">
        <f>1-(H28/Parametros!$B$6)</f>
        <v>0.55000000000000004</v>
      </c>
    </row>
    <row r="29" spans="1:9" x14ac:dyDescent="0.3">
      <c r="A29" s="8" t="s">
        <v>42</v>
      </c>
      <c r="B29" s="8" t="s">
        <v>43</v>
      </c>
      <c r="C29" s="8" t="s">
        <v>24</v>
      </c>
      <c r="D29" s="8">
        <f>COUNTIFS(Asistencia_Febrero_2026!C:C,A29,Asistencia_Febrero_2026!L:L,"Tardanza")</f>
        <v>2</v>
      </c>
      <c r="E29" s="8">
        <f>COUNTIFS(Asistencia_Febrero_2026!C:C,A29,Asistencia_Febrero_2026!L:L,"Falta")</f>
        <v>0</v>
      </c>
      <c r="F29" s="8">
        <f>COUNTIFS(Asistencia_Febrero_2026!C:C,A29,Asistencia_Febrero_2026!L:L,"Permiso")</f>
        <v>0</v>
      </c>
      <c r="G29" s="8">
        <f>COUNTIFS(Asistencia_Febrero_2026!C:C,A29,Asistencia_Febrero_2026!L:L,"Vacaciones")</f>
        <v>0</v>
      </c>
      <c r="H29" s="8">
        <f t="shared" si="0"/>
        <v>2</v>
      </c>
      <c r="I29" s="6">
        <f>1-(H29/Parametros!$B$6)</f>
        <v>0.9</v>
      </c>
    </row>
    <row r="30" spans="1:9" x14ac:dyDescent="0.3">
      <c r="A30" s="8" t="s">
        <v>44</v>
      </c>
      <c r="B30" s="8" t="s">
        <v>45</v>
      </c>
      <c r="C30" s="8" t="s">
        <v>25</v>
      </c>
      <c r="D30" s="8">
        <f>COUNTIFS(Asistencia_Febrero_2026!C:C,A30,Asistencia_Febrero_2026!L:L,"Tardanza")</f>
        <v>4</v>
      </c>
      <c r="E30" s="8">
        <f>COUNTIFS(Asistencia_Febrero_2026!C:C,A30,Asistencia_Febrero_2026!L:L,"Falta")</f>
        <v>0</v>
      </c>
      <c r="F30" s="8">
        <f>COUNTIFS(Asistencia_Febrero_2026!C:C,A30,Asistencia_Febrero_2026!L:L,"Permiso")</f>
        <v>1</v>
      </c>
      <c r="G30" s="8">
        <f>COUNTIFS(Asistencia_Febrero_2026!C:C,A30,Asistencia_Febrero_2026!L:L,"Vacaciones")</f>
        <v>0</v>
      </c>
      <c r="H30" s="8">
        <f t="shared" si="0"/>
        <v>5</v>
      </c>
      <c r="I30" s="6">
        <f>1-(H30/Parametros!$B$6)</f>
        <v>0.75</v>
      </c>
    </row>
    <row r="31" spans="1:9" x14ac:dyDescent="0.3">
      <c r="A31" s="8" t="s">
        <v>46</v>
      </c>
      <c r="B31" s="8" t="s">
        <v>47</v>
      </c>
      <c r="C31" s="8" t="s">
        <v>22</v>
      </c>
      <c r="D31" s="8">
        <f>COUNTIFS(Asistencia_Febrero_2026!C:C,A31,Asistencia_Febrero_2026!L:L,"Tardanza")</f>
        <v>0</v>
      </c>
      <c r="E31" s="8">
        <f>COUNTIFS(Asistencia_Febrero_2026!C:C,A31,Asistencia_Febrero_2026!L:L,"Falta")</f>
        <v>0</v>
      </c>
      <c r="F31" s="8">
        <f>COUNTIFS(Asistencia_Febrero_2026!C:C,A31,Asistencia_Febrero_2026!L:L,"Permiso")</f>
        <v>0</v>
      </c>
      <c r="G31" s="8">
        <f>COUNTIFS(Asistencia_Febrero_2026!C:C,A31,Asistencia_Febrero_2026!L:L,"Vacaciones")</f>
        <v>5</v>
      </c>
      <c r="H31" s="8">
        <f t="shared" si="0"/>
        <v>5</v>
      </c>
      <c r="I31" s="6">
        <f>1-(H31/Parametros!$B$6)</f>
        <v>0.75</v>
      </c>
    </row>
    <row r="32" spans="1:9" x14ac:dyDescent="0.3">
      <c r="A32" s="8" t="s">
        <v>48</v>
      </c>
      <c r="B32" s="8" t="s">
        <v>49</v>
      </c>
      <c r="C32" s="8" t="s">
        <v>21</v>
      </c>
      <c r="D32" s="8">
        <f>COUNTIFS(Asistencia_Febrero_2026!C:C,A32,Asistencia_Febrero_2026!L:L,"Tardanza")</f>
        <v>3</v>
      </c>
      <c r="E32" s="8">
        <f>COUNTIFS(Asistencia_Febrero_2026!C:C,A32,Asistencia_Febrero_2026!L:L,"Falta")</f>
        <v>1</v>
      </c>
      <c r="F32" s="8">
        <f>COUNTIFS(Asistencia_Febrero_2026!C:C,A32,Asistencia_Febrero_2026!L:L,"Permiso")</f>
        <v>0</v>
      </c>
      <c r="G32" s="8">
        <f>COUNTIFS(Asistencia_Febrero_2026!C:C,A32,Asistencia_Febrero_2026!L:L,"Vacaciones")</f>
        <v>0</v>
      </c>
      <c r="H32" s="8">
        <f t="shared" si="0"/>
        <v>4</v>
      </c>
      <c r="I32" s="6">
        <f>1-(H32/Parametros!$B$6)</f>
        <v>0.8</v>
      </c>
    </row>
    <row r="33" spans="1:9" x14ac:dyDescent="0.3">
      <c r="A33" s="8" t="s">
        <v>50</v>
      </c>
      <c r="B33" s="8" t="s">
        <v>51</v>
      </c>
      <c r="C33" s="8" t="s">
        <v>23</v>
      </c>
      <c r="D33" s="8">
        <f>COUNTIFS(Asistencia_Febrero_2026!C:C,A33,Asistencia_Febrero_2026!L:L,"Tardanza")</f>
        <v>4</v>
      </c>
      <c r="E33" s="8">
        <f>COUNTIFS(Asistencia_Febrero_2026!C:C,A33,Asistencia_Febrero_2026!L:L,"Falta")</f>
        <v>2</v>
      </c>
      <c r="F33" s="8">
        <f>COUNTIFS(Asistencia_Febrero_2026!C:C,A33,Asistencia_Febrero_2026!L:L,"Permiso")</f>
        <v>1</v>
      </c>
      <c r="G33" s="8">
        <f>COUNTIFS(Asistencia_Febrero_2026!C:C,A33,Asistencia_Febrero_2026!L:L,"Vacaciones")</f>
        <v>0</v>
      </c>
      <c r="H33" s="8">
        <f t="shared" si="0"/>
        <v>7</v>
      </c>
      <c r="I33" s="6">
        <f>1-(H33/Parametros!$B$6)</f>
        <v>0.65</v>
      </c>
    </row>
    <row r="34" spans="1:9" x14ac:dyDescent="0.3">
      <c r="A34" s="8" t="s">
        <v>52</v>
      </c>
      <c r="B34" s="8" t="s">
        <v>53</v>
      </c>
      <c r="C34" s="8" t="s">
        <v>25</v>
      </c>
      <c r="D34" s="8">
        <f>COUNTIFS(Asistencia_Febrero_2026!C:C,A34,Asistencia_Febrero_2026!L:L,"Tardanza")</f>
        <v>1</v>
      </c>
      <c r="E34" s="8">
        <f>COUNTIFS(Asistencia_Febrero_2026!C:C,A34,Asistencia_Febrero_2026!L:L,"Falta")</f>
        <v>0</v>
      </c>
      <c r="F34" s="8">
        <f>COUNTIFS(Asistencia_Febrero_2026!C:C,A34,Asistencia_Febrero_2026!L:L,"Permiso")</f>
        <v>1</v>
      </c>
      <c r="G34" s="8">
        <f>COUNTIFS(Asistencia_Febrero_2026!C:C,A34,Asistencia_Febrero_2026!L:L,"Vacaciones")</f>
        <v>0</v>
      </c>
      <c r="H34" s="8">
        <f t="shared" si="0"/>
        <v>2</v>
      </c>
      <c r="I34" s="6">
        <f>1-(H34/Parametros!$B$6)</f>
        <v>0.9</v>
      </c>
    </row>
    <row r="35" spans="1:9" x14ac:dyDescent="0.3">
      <c r="A35" s="8" t="s">
        <v>54</v>
      </c>
      <c r="B35" s="8" t="s">
        <v>55</v>
      </c>
      <c r="C35" s="8" t="s">
        <v>21</v>
      </c>
      <c r="D35" s="8">
        <f>COUNTIFS(Asistencia_Febrero_2026!C:C,A35,Asistencia_Febrero_2026!L:L,"Tardanza")</f>
        <v>1</v>
      </c>
      <c r="E35" s="8">
        <f>COUNTIFS(Asistencia_Febrero_2026!C:C,A35,Asistencia_Febrero_2026!L:L,"Falta")</f>
        <v>0</v>
      </c>
      <c r="F35" s="8">
        <f>COUNTIFS(Asistencia_Febrero_2026!C:C,A35,Asistencia_Febrero_2026!L:L,"Permiso")</f>
        <v>1</v>
      </c>
      <c r="G35" s="8">
        <f>COUNTIFS(Asistencia_Febrero_2026!C:C,A35,Asistencia_Febrero_2026!L:L,"Vacaciones")</f>
        <v>0</v>
      </c>
      <c r="H35" s="8">
        <f t="shared" si="0"/>
        <v>2</v>
      </c>
      <c r="I35" s="6">
        <f>1-(H35/Parametros!$B$6)</f>
        <v>0.9</v>
      </c>
    </row>
    <row r="36" spans="1:9" x14ac:dyDescent="0.3">
      <c r="A36" s="8" t="s">
        <v>56</v>
      </c>
      <c r="B36" s="8" t="s">
        <v>57</v>
      </c>
      <c r="C36" s="8" t="s">
        <v>23</v>
      </c>
      <c r="D36" s="8">
        <f>COUNTIFS(Asistencia_Febrero_2026!C:C,A36,Asistencia_Febrero_2026!L:L,"Tardanza")</f>
        <v>2</v>
      </c>
      <c r="E36" s="8">
        <f>COUNTIFS(Asistencia_Febrero_2026!C:C,A36,Asistencia_Febrero_2026!L:L,"Falta")</f>
        <v>1</v>
      </c>
      <c r="F36" s="8">
        <f>COUNTIFS(Asistencia_Febrero_2026!C:C,A36,Asistencia_Febrero_2026!L:L,"Permiso")</f>
        <v>0</v>
      </c>
      <c r="G36" s="8">
        <f>COUNTIFS(Asistencia_Febrero_2026!C:C,A36,Asistencia_Febrero_2026!L:L,"Vacaciones")</f>
        <v>0</v>
      </c>
      <c r="H36" s="8">
        <f t="shared" si="0"/>
        <v>3</v>
      </c>
      <c r="I36" s="6">
        <f>1-(H36/Parametros!$B$6)</f>
        <v>0.85</v>
      </c>
    </row>
    <row r="37" spans="1:9" x14ac:dyDescent="0.3">
      <c r="A37" s="8" t="s">
        <v>58</v>
      </c>
      <c r="B37" s="8" t="s">
        <v>59</v>
      </c>
      <c r="C37" s="8" t="s">
        <v>22</v>
      </c>
      <c r="D37" s="8">
        <f>COUNTIFS(Asistencia_Febrero_2026!C:C,A37,Asistencia_Febrero_2026!L:L,"Tardanza")</f>
        <v>0</v>
      </c>
      <c r="E37" s="8">
        <f>COUNTIFS(Asistencia_Febrero_2026!C:C,A37,Asistencia_Febrero_2026!L:L,"Falta")</f>
        <v>0</v>
      </c>
      <c r="F37" s="8">
        <f>COUNTIFS(Asistencia_Febrero_2026!C:C,A37,Asistencia_Febrero_2026!L:L,"Permiso")</f>
        <v>0</v>
      </c>
      <c r="G37" s="8">
        <f>COUNTIFS(Asistencia_Febrero_2026!C:C,A37,Asistencia_Febrero_2026!L:L,"Vacaciones")</f>
        <v>5</v>
      </c>
      <c r="H37" s="8">
        <f t="shared" si="0"/>
        <v>5</v>
      </c>
      <c r="I37" s="6">
        <f>1-(H37/Parametros!$B$6)</f>
        <v>0.75</v>
      </c>
    </row>
    <row r="38" spans="1:9" x14ac:dyDescent="0.3">
      <c r="A38" s="8" t="s">
        <v>60</v>
      </c>
      <c r="B38" s="8" t="s">
        <v>61</v>
      </c>
      <c r="C38" s="8" t="s">
        <v>24</v>
      </c>
      <c r="D38" s="8">
        <f>COUNTIFS(Asistencia_Febrero_2026!C:C,A38,Asistencia_Febrero_2026!L:L,"Tardanza")</f>
        <v>1</v>
      </c>
      <c r="E38" s="8">
        <f>COUNTIFS(Asistencia_Febrero_2026!C:C,A38,Asistencia_Febrero_2026!L:L,"Falta")</f>
        <v>0</v>
      </c>
      <c r="F38" s="8">
        <f>COUNTIFS(Asistencia_Febrero_2026!C:C,A38,Asistencia_Febrero_2026!L:L,"Permiso")</f>
        <v>0</v>
      </c>
      <c r="G38" s="8">
        <f>COUNTIFS(Asistencia_Febrero_2026!C:C,A38,Asistencia_Febrero_2026!L:L,"Vacaciones")</f>
        <v>0</v>
      </c>
      <c r="H38" s="8">
        <f t="shared" si="0"/>
        <v>1</v>
      </c>
      <c r="I38" s="6">
        <f>1-(H38/Parametros!$B$6)</f>
        <v>0.95</v>
      </c>
    </row>
    <row r="39" spans="1:9" x14ac:dyDescent="0.3">
      <c r="A39" s="8" t="s">
        <v>62</v>
      </c>
      <c r="B39" s="8" t="s">
        <v>63</v>
      </c>
      <c r="C39" s="8" t="s">
        <v>21</v>
      </c>
      <c r="D39" s="8">
        <f>COUNTIFS(Asistencia_Febrero_2026!C:C,A39,Asistencia_Febrero_2026!L:L,"Tardanza")</f>
        <v>1</v>
      </c>
      <c r="E39" s="8">
        <f>COUNTIFS(Asistencia_Febrero_2026!C:C,A39,Asistencia_Febrero_2026!L:L,"Falta")</f>
        <v>0</v>
      </c>
      <c r="F39" s="8">
        <f>COUNTIFS(Asistencia_Febrero_2026!C:C,A39,Asistencia_Febrero_2026!L:L,"Permiso")</f>
        <v>1</v>
      </c>
      <c r="G39" s="8">
        <f>COUNTIFS(Asistencia_Febrero_2026!C:C,A39,Asistencia_Febrero_2026!L:L,"Vacaciones")</f>
        <v>0</v>
      </c>
      <c r="H39" s="8">
        <f t="shared" si="0"/>
        <v>2</v>
      </c>
      <c r="I39" s="6">
        <f>1-(H39/Parametros!$B$6)</f>
        <v>0.9</v>
      </c>
    </row>
    <row r="40" spans="1:9" x14ac:dyDescent="0.3">
      <c r="A40" s="8" t="s">
        <v>64</v>
      </c>
      <c r="B40" s="8" t="s">
        <v>65</v>
      </c>
      <c r="C40" s="8" t="s">
        <v>25</v>
      </c>
      <c r="D40" s="8">
        <f>COUNTIFS(Asistencia_Febrero_2026!C:C,A40,Asistencia_Febrero_2026!L:L,"Tardanza")</f>
        <v>3</v>
      </c>
      <c r="E40" s="8">
        <f>COUNTIFS(Asistencia_Febrero_2026!C:C,A40,Asistencia_Febrero_2026!L:L,"Falta")</f>
        <v>0</v>
      </c>
      <c r="F40" s="8">
        <f>COUNTIFS(Asistencia_Febrero_2026!C:C,A40,Asistencia_Febrero_2026!L:L,"Permiso")</f>
        <v>0</v>
      </c>
      <c r="G40" s="8">
        <f>COUNTIFS(Asistencia_Febrero_2026!C:C,A40,Asistencia_Febrero_2026!L:L,"Vacaciones")</f>
        <v>0</v>
      </c>
      <c r="H40" s="8">
        <f t="shared" si="0"/>
        <v>3</v>
      </c>
      <c r="I40" s="6">
        <f>1-(H40/Parametros!$B$6)</f>
        <v>0.85</v>
      </c>
    </row>
    <row r="43" spans="1:9" x14ac:dyDescent="0.3">
      <c r="A43" s="1" t="s">
        <v>66</v>
      </c>
      <c r="B43" s="9" t="s">
        <v>67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28" customWidth="1"/>
    <col min="2" max="2" width="22" customWidth="1"/>
    <col min="3" max="3" width="42" customWidth="1"/>
  </cols>
  <sheetData>
    <row r="1" spans="1:3" x14ac:dyDescent="0.3">
      <c r="A1" s="10" t="s">
        <v>68</v>
      </c>
      <c r="B1" s="10" t="s">
        <v>69</v>
      </c>
      <c r="C1" s="10" t="s">
        <v>70</v>
      </c>
    </row>
    <row r="2" spans="1:3" x14ac:dyDescent="0.3">
      <c r="A2" s="1" t="s">
        <v>3</v>
      </c>
      <c r="B2" t="s">
        <v>4</v>
      </c>
      <c r="C2" t="s">
        <v>71</v>
      </c>
    </row>
    <row r="3" spans="1:3" x14ac:dyDescent="0.3">
      <c r="A3" s="1" t="s">
        <v>72</v>
      </c>
      <c r="B3" s="11">
        <v>0.375</v>
      </c>
      <c r="C3" t="s">
        <v>73</v>
      </c>
    </row>
    <row r="4" spans="1:3" x14ac:dyDescent="0.3">
      <c r="A4" s="1" t="s">
        <v>74</v>
      </c>
      <c r="B4" s="11">
        <v>6.9444444444444441E-3</v>
      </c>
      <c r="C4" t="s">
        <v>75</v>
      </c>
    </row>
    <row r="5" spans="1:3" x14ac:dyDescent="0.3">
      <c r="A5" s="1" t="s">
        <v>76</v>
      </c>
      <c r="B5" s="11">
        <v>0.75</v>
      </c>
      <c r="C5" t="s">
        <v>77</v>
      </c>
    </row>
    <row r="6" spans="1:3" x14ac:dyDescent="0.3">
      <c r="A6" s="1" t="s">
        <v>78</v>
      </c>
      <c r="B6">
        <v>20</v>
      </c>
      <c r="C6" t="s">
        <v>79</v>
      </c>
    </row>
    <row r="7" spans="1:3" x14ac:dyDescent="0.3">
      <c r="A7" s="1" t="s">
        <v>80</v>
      </c>
      <c r="B7" t="s">
        <v>81</v>
      </c>
      <c r="C7" t="s">
        <v>82</v>
      </c>
    </row>
    <row r="8" spans="1:3" x14ac:dyDescent="0.3">
      <c r="A8" s="1" t="s">
        <v>83</v>
      </c>
      <c r="B8" t="s">
        <v>84</v>
      </c>
      <c r="C8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baseColWidth="10" defaultColWidth="8.88671875" defaultRowHeight="14.4" x14ac:dyDescent="0.3"/>
  <cols>
    <col min="1" max="1" width="14" customWidth="1"/>
    <col min="2" max="2" width="22" customWidth="1"/>
    <col min="3" max="3" width="16" customWidth="1"/>
    <col min="4" max="4" width="24" customWidth="1"/>
    <col min="5" max="5" width="12" customWidth="1"/>
    <col min="6" max="6" width="14" customWidth="1"/>
  </cols>
  <sheetData>
    <row r="1" spans="1:6" x14ac:dyDescent="0.3">
      <c r="A1" s="10" t="s">
        <v>26</v>
      </c>
      <c r="B1" s="10" t="s">
        <v>27</v>
      </c>
      <c r="C1" s="10" t="s">
        <v>19</v>
      </c>
      <c r="D1" s="10" t="s">
        <v>86</v>
      </c>
      <c r="E1" s="10" t="s">
        <v>87</v>
      </c>
      <c r="F1" s="10" t="s">
        <v>88</v>
      </c>
    </row>
    <row r="2" spans="1:6" x14ac:dyDescent="0.3">
      <c r="A2" t="s">
        <v>30</v>
      </c>
      <c r="B2" t="s">
        <v>31</v>
      </c>
      <c r="C2" t="s">
        <v>24</v>
      </c>
      <c r="D2" t="s">
        <v>89</v>
      </c>
      <c r="E2" t="s">
        <v>90</v>
      </c>
      <c r="F2" t="s">
        <v>91</v>
      </c>
    </row>
    <row r="3" spans="1:6" x14ac:dyDescent="0.3">
      <c r="A3" t="s">
        <v>32</v>
      </c>
      <c r="B3" t="s">
        <v>33</v>
      </c>
      <c r="C3" t="s">
        <v>23</v>
      </c>
      <c r="D3" t="s">
        <v>92</v>
      </c>
      <c r="E3" t="s">
        <v>90</v>
      </c>
      <c r="F3" t="s">
        <v>93</v>
      </c>
    </row>
    <row r="4" spans="1:6" x14ac:dyDescent="0.3">
      <c r="A4" t="s">
        <v>34</v>
      </c>
      <c r="B4" t="s">
        <v>35</v>
      </c>
      <c r="C4" t="s">
        <v>22</v>
      </c>
      <c r="D4" t="s">
        <v>94</v>
      </c>
      <c r="E4" t="s">
        <v>90</v>
      </c>
      <c r="F4" t="s">
        <v>91</v>
      </c>
    </row>
    <row r="5" spans="1:6" x14ac:dyDescent="0.3">
      <c r="A5" t="s">
        <v>36</v>
      </c>
      <c r="B5" t="s">
        <v>37</v>
      </c>
      <c r="C5" t="s">
        <v>25</v>
      </c>
      <c r="D5" t="s">
        <v>95</v>
      </c>
      <c r="E5" t="s">
        <v>90</v>
      </c>
      <c r="F5" t="s">
        <v>96</v>
      </c>
    </row>
    <row r="6" spans="1:6" x14ac:dyDescent="0.3">
      <c r="A6" t="s">
        <v>38</v>
      </c>
      <c r="B6" t="s">
        <v>39</v>
      </c>
      <c r="C6" t="s">
        <v>21</v>
      </c>
      <c r="D6" t="s">
        <v>97</v>
      </c>
      <c r="E6" t="s">
        <v>90</v>
      </c>
      <c r="F6" t="s">
        <v>96</v>
      </c>
    </row>
    <row r="7" spans="1:6" x14ac:dyDescent="0.3">
      <c r="A7" t="s">
        <v>40</v>
      </c>
      <c r="B7" t="s">
        <v>41</v>
      </c>
      <c r="C7" t="s">
        <v>23</v>
      </c>
      <c r="D7" t="s">
        <v>98</v>
      </c>
      <c r="E7" t="s">
        <v>99</v>
      </c>
      <c r="F7" t="s">
        <v>93</v>
      </c>
    </row>
    <row r="8" spans="1:6" x14ac:dyDescent="0.3">
      <c r="A8" t="s">
        <v>42</v>
      </c>
      <c r="B8" t="s">
        <v>43</v>
      </c>
      <c r="C8" t="s">
        <v>24</v>
      </c>
      <c r="D8" t="s">
        <v>100</v>
      </c>
      <c r="E8" t="s">
        <v>90</v>
      </c>
      <c r="F8" t="s">
        <v>91</v>
      </c>
    </row>
    <row r="9" spans="1:6" x14ac:dyDescent="0.3">
      <c r="A9" t="s">
        <v>44</v>
      </c>
      <c r="B9" t="s">
        <v>45</v>
      </c>
      <c r="C9" t="s">
        <v>25</v>
      </c>
      <c r="D9" t="s">
        <v>101</v>
      </c>
      <c r="E9" t="s">
        <v>90</v>
      </c>
      <c r="F9" t="s">
        <v>96</v>
      </c>
    </row>
    <row r="10" spans="1:6" x14ac:dyDescent="0.3">
      <c r="A10" t="s">
        <v>46</v>
      </c>
      <c r="B10" t="s">
        <v>47</v>
      </c>
      <c r="C10" t="s">
        <v>22</v>
      </c>
      <c r="D10" t="s">
        <v>102</v>
      </c>
      <c r="E10" t="s">
        <v>90</v>
      </c>
      <c r="F10" t="s">
        <v>91</v>
      </c>
    </row>
    <row r="11" spans="1:6" x14ac:dyDescent="0.3">
      <c r="A11" t="s">
        <v>48</v>
      </c>
      <c r="B11" t="s">
        <v>49</v>
      </c>
      <c r="C11" t="s">
        <v>21</v>
      </c>
      <c r="D11" t="s">
        <v>103</v>
      </c>
      <c r="E11" t="s">
        <v>104</v>
      </c>
      <c r="F11" t="s">
        <v>93</v>
      </c>
    </row>
    <row r="12" spans="1:6" x14ac:dyDescent="0.3">
      <c r="A12" t="s">
        <v>50</v>
      </c>
      <c r="B12" t="s">
        <v>51</v>
      </c>
      <c r="C12" t="s">
        <v>23</v>
      </c>
      <c r="D12" t="s">
        <v>105</v>
      </c>
      <c r="E12" t="s">
        <v>99</v>
      </c>
      <c r="F12" t="s">
        <v>96</v>
      </c>
    </row>
    <row r="13" spans="1:6" x14ac:dyDescent="0.3">
      <c r="A13" t="s">
        <v>52</v>
      </c>
      <c r="B13" t="s">
        <v>53</v>
      </c>
      <c r="C13" t="s">
        <v>25</v>
      </c>
      <c r="D13" t="s">
        <v>106</v>
      </c>
      <c r="E13" t="s">
        <v>90</v>
      </c>
      <c r="F13" t="s">
        <v>91</v>
      </c>
    </row>
    <row r="14" spans="1:6" x14ac:dyDescent="0.3">
      <c r="A14" t="s">
        <v>54</v>
      </c>
      <c r="B14" t="s">
        <v>55</v>
      </c>
      <c r="C14" t="s">
        <v>21</v>
      </c>
      <c r="D14" t="s">
        <v>107</v>
      </c>
      <c r="E14" t="s">
        <v>104</v>
      </c>
      <c r="F14" t="s">
        <v>91</v>
      </c>
    </row>
    <row r="15" spans="1:6" x14ac:dyDescent="0.3">
      <c r="A15" t="s">
        <v>56</v>
      </c>
      <c r="B15" t="s">
        <v>57</v>
      </c>
      <c r="C15" t="s">
        <v>23</v>
      </c>
      <c r="D15" t="s">
        <v>108</v>
      </c>
      <c r="E15" t="s">
        <v>99</v>
      </c>
      <c r="F15" t="s">
        <v>93</v>
      </c>
    </row>
    <row r="16" spans="1:6" x14ac:dyDescent="0.3">
      <c r="A16" t="s">
        <v>58</v>
      </c>
      <c r="B16" t="s">
        <v>59</v>
      </c>
      <c r="C16" t="s">
        <v>22</v>
      </c>
      <c r="D16" t="s">
        <v>109</v>
      </c>
      <c r="E16" t="s">
        <v>90</v>
      </c>
      <c r="F16" t="s">
        <v>91</v>
      </c>
    </row>
    <row r="17" spans="1:6" x14ac:dyDescent="0.3">
      <c r="A17" t="s">
        <v>60</v>
      </c>
      <c r="B17" t="s">
        <v>61</v>
      </c>
      <c r="C17" t="s">
        <v>24</v>
      </c>
      <c r="D17" t="s">
        <v>110</v>
      </c>
      <c r="E17" t="s">
        <v>90</v>
      </c>
      <c r="F17" t="s">
        <v>96</v>
      </c>
    </row>
    <row r="18" spans="1:6" x14ac:dyDescent="0.3">
      <c r="A18" t="s">
        <v>62</v>
      </c>
      <c r="B18" t="s">
        <v>63</v>
      </c>
      <c r="C18" t="s">
        <v>21</v>
      </c>
      <c r="D18" t="s">
        <v>111</v>
      </c>
      <c r="E18" t="s">
        <v>104</v>
      </c>
      <c r="F18" t="s">
        <v>91</v>
      </c>
    </row>
    <row r="19" spans="1:6" x14ac:dyDescent="0.3">
      <c r="A19" t="s">
        <v>64</v>
      </c>
      <c r="B19" t="s">
        <v>65</v>
      </c>
      <c r="C19" t="s">
        <v>25</v>
      </c>
      <c r="D19" t="s">
        <v>112</v>
      </c>
      <c r="E19" t="s">
        <v>90</v>
      </c>
      <c r="F19" t="s">
        <v>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1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1" max="1" width="12" customWidth="1"/>
    <col min="2" max="2" width="11" customWidth="1"/>
    <col min="3" max="3" width="14" customWidth="1"/>
    <col min="4" max="4" width="20" customWidth="1"/>
    <col min="5" max="5" width="16" customWidth="1"/>
    <col min="6" max="6" width="24" customWidth="1"/>
    <col min="7" max="7" width="12" customWidth="1"/>
    <col min="8" max="8" width="22" customWidth="1"/>
    <col min="9" max="9" width="18" customWidth="1"/>
    <col min="10" max="10" width="22" customWidth="1"/>
    <col min="11" max="11" width="18" customWidth="1"/>
    <col min="12" max="12" width="14" customWidth="1"/>
    <col min="13" max="13" width="16" customWidth="1"/>
    <col min="14" max="14" width="14" customWidth="1"/>
    <col min="15" max="15" width="28" customWidth="1"/>
  </cols>
  <sheetData>
    <row r="1" spans="1:15" x14ac:dyDescent="0.3">
      <c r="A1" s="12" t="s">
        <v>113</v>
      </c>
      <c r="B1" s="16" t="s">
        <v>138</v>
      </c>
      <c r="C1" s="12" t="s">
        <v>26</v>
      </c>
      <c r="D1" s="12" t="s">
        <v>27</v>
      </c>
      <c r="E1" s="16" t="s">
        <v>139</v>
      </c>
      <c r="F1" s="12" t="s">
        <v>86</v>
      </c>
      <c r="G1" s="12" t="s">
        <v>87</v>
      </c>
      <c r="H1" s="12" t="s">
        <v>114</v>
      </c>
      <c r="I1" s="12" t="s">
        <v>115</v>
      </c>
      <c r="J1" s="12" t="s">
        <v>116</v>
      </c>
      <c r="K1" s="12" t="s">
        <v>117</v>
      </c>
      <c r="L1" s="12" t="s">
        <v>6</v>
      </c>
      <c r="M1" s="12" t="s">
        <v>118</v>
      </c>
      <c r="N1" s="12" t="s">
        <v>119</v>
      </c>
      <c r="O1" s="16" t="s">
        <v>137</v>
      </c>
    </row>
    <row r="2" spans="1:15" x14ac:dyDescent="0.3">
      <c r="A2" s="13">
        <v>46055</v>
      </c>
      <c r="B2" t="s">
        <v>120</v>
      </c>
      <c r="C2" t="s">
        <v>30</v>
      </c>
      <c r="D2" t="s">
        <v>31</v>
      </c>
      <c r="E2" t="s">
        <v>24</v>
      </c>
      <c r="F2" t="s">
        <v>89</v>
      </c>
      <c r="G2" t="s">
        <v>90</v>
      </c>
      <c r="H2" s="11">
        <v>0.375</v>
      </c>
      <c r="I2" s="11">
        <v>0.39444444444444438</v>
      </c>
      <c r="J2" s="11">
        <v>0.75</v>
      </c>
      <c r="K2" s="11">
        <v>0.75486111111111109</v>
      </c>
      <c r="L2" t="s">
        <v>11</v>
      </c>
      <c r="M2" s="5">
        <f>IF(OR(I2="",H2=""),"",MAX(0,ROUND((I2-H2-Parametros!$B$4)*1440,0)))</f>
        <v>18</v>
      </c>
      <c r="N2" t="str">
        <f t="shared" ref="N2:N65" si="0">IF(L2="Asistencia","Sin novedad",L2)</f>
        <v>Tardanza</v>
      </c>
      <c r="O2" t="s">
        <v>121</v>
      </c>
    </row>
    <row r="3" spans="1:15" x14ac:dyDescent="0.3">
      <c r="A3" s="13">
        <v>46055</v>
      </c>
      <c r="B3" t="s">
        <v>120</v>
      </c>
      <c r="C3" t="s">
        <v>32</v>
      </c>
      <c r="D3" t="s">
        <v>33</v>
      </c>
      <c r="E3" t="s">
        <v>23</v>
      </c>
      <c r="F3" t="s">
        <v>92</v>
      </c>
      <c r="G3" t="s">
        <v>90</v>
      </c>
      <c r="H3" s="11">
        <v>0.375</v>
      </c>
      <c r="I3" s="11">
        <v>0.40625</v>
      </c>
      <c r="J3" s="11">
        <v>0.75</v>
      </c>
      <c r="K3" s="11">
        <v>0.74791666666666667</v>
      </c>
      <c r="L3" t="s">
        <v>11</v>
      </c>
      <c r="M3" s="5">
        <f>IF(OR(I3="",H3=""),"",MAX(0,ROUND((I3-H3-Parametros!$B$4)*1440,0)))</f>
        <v>35</v>
      </c>
      <c r="N3" t="str">
        <f t="shared" si="0"/>
        <v>Tardanza</v>
      </c>
      <c r="O3" t="s">
        <v>122</v>
      </c>
    </row>
    <row r="4" spans="1:15" x14ac:dyDescent="0.3">
      <c r="A4" s="13">
        <v>46055</v>
      </c>
      <c r="B4" t="s">
        <v>120</v>
      </c>
      <c r="C4" t="s">
        <v>34</v>
      </c>
      <c r="D4" t="s">
        <v>35</v>
      </c>
      <c r="E4" t="s">
        <v>22</v>
      </c>
      <c r="F4" t="s">
        <v>94</v>
      </c>
      <c r="G4" t="s">
        <v>90</v>
      </c>
      <c r="H4" s="11">
        <v>0.375</v>
      </c>
      <c r="I4" s="11">
        <v>0.39166666666666672</v>
      </c>
      <c r="J4" s="11">
        <v>0.75</v>
      </c>
      <c r="K4" s="11">
        <v>0.75416666666666665</v>
      </c>
      <c r="L4" t="s">
        <v>11</v>
      </c>
      <c r="M4" s="5">
        <f>IF(OR(I4="",H4=""),"",MAX(0,ROUND((I4-H4-Parametros!$B$4)*1440,0)))</f>
        <v>14</v>
      </c>
      <c r="N4" t="str">
        <f t="shared" si="0"/>
        <v>Tardanza</v>
      </c>
      <c r="O4" t="s">
        <v>122</v>
      </c>
    </row>
    <row r="5" spans="1:15" x14ac:dyDescent="0.3">
      <c r="A5" s="13">
        <v>46055</v>
      </c>
      <c r="B5" t="s">
        <v>120</v>
      </c>
      <c r="C5" t="s">
        <v>36</v>
      </c>
      <c r="D5" t="s">
        <v>37</v>
      </c>
      <c r="E5" t="s">
        <v>25</v>
      </c>
      <c r="F5" t="s">
        <v>95</v>
      </c>
      <c r="G5" t="s">
        <v>90</v>
      </c>
      <c r="H5" s="11">
        <v>0.375</v>
      </c>
      <c r="I5" s="11">
        <v>0.37777777777777782</v>
      </c>
      <c r="J5" s="11">
        <v>0.75</v>
      </c>
      <c r="K5" s="11">
        <v>0.76527777777777772</v>
      </c>
      <c r="L5" t="s">
        <v>9</v>
      </c>
      <c r="M5" s="5">
        <f>IF(OR(I5="",H5=""),"",MAX(0,ROUND((I5-H5-Parametros!$B$4)*1440,0)))</f>
        <v>0</v>
      </c>
      <c r="N5" t="str">
        <f t="shared" si="0"/>
        <v>Sin novedad</v>
      </c>
      <c r="O5" t="s">
        <v>123</v>
      </c>
    </row>
    <row r="6" spans="1:15" x14ac:dyDescent="0.3">
      <c r="A6" s="13">
        <v>46055</v>
      </c>
      <c r="B6" t="s">
        <v>120</v>
      </c>
      <c r="C6" t="s">
        <v>38</v>
      </c>
      <c r="D6" t="s">
        <v>39</v>
      </c>
      <c r="E6" t="s">
        <v>21</v>
      </c>
      <c r="F6" t="s">
        <v>97</v>
      </c>
      <c r="G6" t="s">
        <v>90</v>
      </c>
      <c r="H6" s="11">
        <v>0.375</v>
      </c>
      <c r="I6" s="11">
        <v>0.37986111111111109</v>
      </c>
      <c r="J6" s="11">
        <v>0.75</v>
      </c>
      <c r="K6" s="11">
        <v>0.7416666666666667</v>
      </c>
      <c r="L6" t="s">
        <v>9</v>
      </c>
      <c r="M6" s="5">
        <f>IF(OR(I6="",H6=""),"",MAX(0,ROUND((I6-H6-Parametros!$B$4)*1440,0)))</f>
        <v>0</v>
      </c>
      <c r="N6" t="str">
        <f t="shared" si="0"/>
        <v>Sin novedad</v>
      </c>
      <c r="O6" t="s">
        <v>124</v>
      </c>
    </row>
    <row r="7" spans="1:15" x14ac:dyDescent="0.3">
      <c r="A7" s="13">
        <v>46055</v>
      </c>
      <c r="B7" t="s">
        <v>120</v>
      </c>
      <c r="C7" t="s">
        <v>40</v>
      </c>
      <c r="D7" t="s">
        <v>41</v>
      </c>
      <c r="E7" t="s">
        <v>23</v>
      </c>
      <c r="F7" t="s">
        <v>98</v>
      </c>
      <c r="G7" t="s">
        <v>99</v>
      </c>
      <c r="H7" s="11">
        <v>0.375</v>
      </c>
      <c r="I7" s="11">
        <v>0.36527777777777781</v>
      </c>
      <c r="J7" s="11">
        <v>0.75</v>
      </c>
      <c r="K7" s="11">
        <v>0.75069444444444444</v>
      </c>
      <c r="L7" t="s">
        <v>9</v>
      </c>
      <c r="M7" s="5">
        <f>IF(OR(I7="",H7=""),"",MAX(0,ROUND((I7-H7-Parametros!$B$4)*1440,0)))</f>
        <v>0</v>
      </c>
      <c r="N7" t="str">
        <f t="shared" si="0"/>
        <v>Sin novedad</v>
      </c>
      <c r="O7" t="s">
        <v>123</v>
      </c>
    </row>
    <row r="8" spans="1:15" x14ac:dyDescent="0.3">
      <c r="A8" s="13">
        <v>46055</v>
      </c>
      <c r="B8" t="s">
        <v>120</v>
      </c>
      <c r="C8" t="s">
        <v>42</v>
      </c>
      <c r="D8" t="s">
        <v>43</v>
      </c>
      <c r="E8" t="s">
        <v>24</v>
      </c>
      <c r="F8" t="s">
        <v>100</v>
      </c>
      <c r="G8" t="s">
        <v>90</v>
      </c>
      <c r="H8" s="11">
        <v>0.375</v>
      </c>
      <c r="I8" s="11">
        <v>0.37013888888888891</v>
      </c>
      <c r="J8" s="11">
        <v>0.75</v>
      </c>
      <c r="K8" s="11">
        <v>0.75694444444444442</v>
      </c>
      <c r="L8" t="s">
        <v>9</v>
      </c>
      <c r="M8" s="5">
        <f>IF(OR(I8="",H8=""),"",MAX(0,ROUND((I8-H8-Parametros!$B$4)*1440,0)))</f>
        <v>0</v>
      </c>
      <c r="N8" t="str">
        <f t="shared" si="0"/>
        <v>Sin novedad</v>
      </c>
      <c r="O8" t="s">
        <v>125</v>
      </c>
    </row>
    <row r="9" spans="1:15" x14ac:dyDescent="0.3">
      <c r="A9" s="13">
        <v>46055</v>
      </c>
      <c r="B9" t="s">
        <v>120</v>
      </c>
      <c r="C9" t="s">
        <v>44</v>
      </c>
      <c r="D9" t="s">
        <v>45</v>
      </c>
      <c r="E9" t="s">
        <v>25</v>
      </c>
      <c r="F9" t="s">
        <v>101</v>
      </c>
      <c r="G9" t="s">
        <v>90</v>
      </c>
      <c r="H9" s="11">
        <v>0.375</v>
      </c>
      <c r="I9" s="11">
        <v>0.40277777777777779</v>
      </c>
      <c r="J9" s="11">
        <v>0.75</v>
      </c>
      <c r="K9" s="11">
        <v>0.7680555555555556</v>
      </c>
      <c r="L9" t="s">
        <v>11</v>
      </c>
      <c r="M9" s="5">
        <f>IF(OR(I9="",H9=""),"",MAX(0,ROUND((I9-H9-Parametros!$B$4)*1440,0)))</f>
        <v>30</v>
      </c>
      <c r="N9" t="str">
        <f t="shared" si="0"/>
        <v>Tardanza</v>
      </c>
      <c r="O9" t="s">
        <v>121</v>
      </c>
    </row>
    <row r="10" spans="1:15" x14ac:dyDescent="0.3">
      <c r="A10" s="13">
        <v>46055</v>
      </c>
      <c r="B10" t="s">
        <v>120</v>
      </c>
      <c r="C10" t="s">
        <v>46</v>
      </c>
      <c r="D10" t="s">
        <v>47</v>
      </c>
      <c r="E10" t="s">
        <v>22</v>
      </c>
      <c r="F10" t="s">
        <v>102</v>
      </c>
      <c r="G10" t="s">
        <v>90</v>
      </c>
      <c r="H10" s="11">
        <v>0.375</v>
      </c>
      <c r="I10" s="11">
        <v>0.37430555555555561</v>
      </c>
      <c r="J10" s="11">
        <v>0.75</v>
      </c>
      <c r="K10" s="11">
        <v>0.75416666666666665</v>
      </c>
      <c r="L10" t="s">
        <v>9</v>
      </c>
      <c r="M10" s="5">
        <f>IF(OR(I10="",H10=""),"",MAX(0,ROUND((I10-H10-Parametros!$B$4)*1440,0)))</f>
        <v>0</v>
      </c>
      <c r="N10" t="str">
        <f t="shared" si="0"/>
        <v>Sin novedad</v>
      </c>
      <c r="O10" t="s">
        <v>125</v>
      </c>
    </row>
    <row r="11" spans="1:15" x14ac:dyDescent="0.3">
      <c r="A11" s="13">
        <v>46055</v>
      </c>
      <c r="B11" t="s">
        <v>120</v>
      </c>
      <c r="C11" t="s">
        <v>48</v>
      </c>
      <c r="D11" t="s">
        <v>49</v>
      </c>
      <c r="E11" t="s">
        <v>21</v>
      </c>
      <c r="F11" t="s">
        <v>103</v>
      </c>
      <c r="G11" t="s">
        <v>104</v>
      </c>
      <c r="H11" s="11">
        <v>0.375</v>
      </c>
      <c r="I11" s="11">
        <v>0.375</v>
      </c>
      <c r="J11" s="11">
        <v>0.75</v>
      </c>
      <c r="K11" s="11">
        <v>0.75</v>
      </c>
      <c r="L11" t="s">
        <v>9</v>
      </c>
      <c r="M11" s="5">
        <f>IF(OR(I11="",H11=""),"",MAX(0,ROUND((I11-H11-Parametros!$B$4)*1440,0)))</f>
        <v>0</v>
      </c>
      <c r="N11" t="str">
        <f t="shared" si="0"/>
        <v>Sin novedad</v>
      </c>
      <c r="O11" t="s">
        <v>125</v>
      </c>
    </row>
    <row r="12" spans="1:15" x14ac:dyDescent="0.3">
      <c r="A12" s="13">
        <v>46055</v>
      </c>
      <c r="B12" t="s">
        <v>120</v>
      </c>
      <c r="C12" t="s">
        <v>50</v>
      </c>
      <c r="D12" t="s">
        <v>51</v>
      </c>
      <c r="E12" t="s">
        <v>23</v>
      </c>
      <c r="F12" t="s">
        <v>105</v>
      </c>
      <c r="G12" t="s">
        <v>99</v>
      </c>
      <c r="H12" s="11">
        <v>0.375</v>
      </c>
      <c r="I12" s="11">
        <v>0.37916666666666671</v>
      </c>
      <c r="J12" s="11">
        <v>0.75</v>
      </c>
      <c r="K12" s="11">
        <v>0.75416666666666665</v>
      </c>
      <c r="L12" t="s">
        <v>9</v>
      </c>
      <c r="M12" s="5">
        <f>IF(OR(I12="",H12=""),"",MAX(0,ROUND((I12-H12-Parametros!$B$4)*1440,0)))</f>
        <v>0</v>
      </c>
      <c r="N12" t="str">
        <f t="shared" si="0"/>
        <v>Sin novedad</v>
      </c>
      <c r="O12" t="s">
        <v>124</v>
      </c>
    </row>
    <row r="13" spans="1:15" x14ac:dyDescent="0.3">
      <c r="A13" s="13">
        <v>46055</v>
      </c>
      <c r="B13" t="s">
        <v>120</v>
      </c>
      <c r="C13" t="s">
        <v>52</v>
      </c>
      <c r="D13" t="s">
        <v>53</v>
      </c>
      <c r="E13" t="s">
        <v>25</v>
      </c>
      <c r="F13" t="s">
        <v>106</v>
      </c>
      <c r="G13" t="s">
        <v>90</v>
      </c>
      <c r="H13" s="11">
        <v>0.375</v>
      </c>
      <c r="I13" s="11">
        <v>0.37083333333333329</v>
      </c>
      <c r="J13" s="11">
        <v>0.75</v>
      </c>
      <c r="K13" s="11">
        <v>0.75347222222222221</v>
      </c>
      <c r="L13" t="s">
        <v>9</v>
      </c>
      <c r="M13" s="5">
        <f>IF(OR(I13="",H13=""),"",MAX(0,ROUND((I13-H13-Parametros!$B$4)*1440,0)))</f>
        <v>0</v>
      </c>
      <c r="N13" t="str">
        <f t="shared" si="0"/>
        <v>Sin novedad</v>
      </c>
      <c r="O13" t="s">
        <v>123</v>
      </c>
    </row>
    <row r="14" spans="1:15" x14ac:dyDescent="0.3">
      <c r="A14" s="13">
        <v>46055</v>
      </c>
      <c r="B14" t="s">
        <v>120</v>
      </c>
      <c r="C14" t="s">
        <v>54</v>
      </c>
      <c r="D14" t="s">
        <v>55</v>
      </c>
      <c r="E14" t="s">
        <v>21</v>
      </c>
      <c r="F14" t="s">
        <v>107</v>
      </c>
      <c r="G14" t="s">
        <v>104</v>
      </c>
      <c r="H14" s="11">
        <v>0.375</v>
      </c>
      <c r="I14" s="11">
        <v>0.37013888888888891</v>
      </c>
      <c r="J14" s="11">
        <v>0.75</v>
      </c>
      <c r="K14" s="11">
        <v>0.75694444444444442</v>
      </c>
      <c r="L14" t="s">
        <v>9</v>
      </c>
      <c r="M14" s="5">
        <f>IF(OR(I14="",H14=""),"",MAX(0,ROUND((I14-H14-Parametros!$B$4)*1440,0)))</f>
        <v>0</v>
      </c>
      <c r="N14" t="str">
        <f t="shared" si="0"/>
        <v>Sin novedad</v>
      </c>
      <c r="O14" t="s">
        <v>124</v>
      </c>
    </row>
    <row r="15" spans="1:15" x14ac:dyDescent="0.3">
      <c r="A15" s="13">
        <v>46055</v>
      </c>
      <c r="B15" t="s">
        <v>120</v>
      </c>
      <c r="C15" t="s">
        <v>56</v>
      </c>
      <c r="D15" t="s">
        <v>57</v>
      </c>
      <c r="E15" t="s">
        <v>23</v>
      </c>
      <c r="F15" t="s">
        <v>108</v>
      </c>
      <c r="G15" t="s">
        <v>99</v>
      </c>
      <c r="H15" s="11">
        <v>0.375</v>
      </c>
      <c r="I15" s="11">
        <v>0.37708333333333333</v>
      </c>
      <c r="J15" s="11">
        <v>0.75</v>
      </c>
      <c r="K15" s="11">
        <v>0.74444444444444446</v>
      </c>
      <c r="L15" t="s">
        <v>9</v>
      </c>
      <c r="M15" s="5">
        <f>IF(OR(I15="",H15=""),"",MAX(0,ROUND((I15-H15-Parametros!$B$4)*1440,0)))</f>
        <v>0</v>
      </c>
      <c r="N15" t="str">
        <f t="shared" si="0"/>
        <v>Sin novedad</v>
      </c>
      <c r="O15" t="s">
        <v>125</v>
      </c>
    </row>
    <row r="16" spans="1:15" x14ac:dyDescent="0.3">
      <c r="A16" s="13">
        <v>46055</v>
      </c>
      <c r="B16" t="s">
        <v>120</v>
      </c>
      <c r="C16" t="s">
        <v>58</v>
      </c>
      <c r="D16" t="s">
        <v>59</v>
      </c>
      <c r="E16" t="s">
        <v>22</v>
      </c>
      <c r="F16" t="s">
        <v>109</v>
      </c>
      <c r="G16" t="s">
        <v>90</v>
      </c>
      <c r="H16" s="11">
        <v>0.375</v>
      </c>
      <c r="I16" s="11">
        <v>0.36736111111111108</v>
      </c>
      <c r="J16" s="11">
        <v>0.75</v>
      </c>
      <c r="K16" s="11">
        <v>0.74861111111111112</v>
      </c>
      <c r="L16" t="s">
        <v>9</v>
      </c>
      <c r="M16" s="5">
        <f>IF(OR(I16="",H16=""),"",MAX(0,ROUND((I16-H16-Parametros!$B$4)*1440,0)))</f>
        <v>0</v>
      </c>
      <c r="N16" t="str">
        <f t="shared" si="0"/>
        <v>Sin novedad</v>
      </c>
      <c r="O16" t="s">
        <v>123</v>
      </c>
    </row>
    <row r="17" spans="1:15" x14ac:dyDescent="0.3">
      <c r="A17" s="13">
        <v>46055</v>
      </c>
      <c r="B17" t="s">
        <v>120</v>
      </c>
      <c r="C17" t="s">
        <v>60</v>
      </c>
      <c r="D17" t="s">
        <v>61</v>
      </c>
      <c r="E17" t="s">
        <v>24</v>
      </c>
      <c r="F17" t="s">
        <v>110</v>
      </c>
      <c r="G17" t="s">
        <v>90</v>
      </c>
      <c r="H17" s="11">
        <v>0.375</v>
      </c>
      <c r="I17" s="11">
        <v>0.37638888888888888</v>
      </c>
      <c r="J17" s="11">
        <v>0.75</v>
      </c>
      <c r="K17" s="11">
        <v>0.76597222222222228</v>
      </c>
      <c r="L17" t="s">
        <v>9</v>
      </c>
      <c r="M17" s="5">
        <f>IF(OR(I17="",H17=""),"",MAX(0,ROUND((I17-H17-Parametros!$B$4)*1440,0)))</f>
        <v>0</v>
      </c>
      <c r="N17" t="str">
        <f t="shared" si="0"/>
        <v>Sin novedad</v>
      </c>
      <c r="O17" t="s">
        <v>124</v>
      </c>
    </row>
    <row r="18" spans="1:15" x14ac:dyDescent="0.3">
      <c r="A18" s="13">
        <v>46055</v>
      </c>
      <c r="B18" t="s">
        <v>120</v>
      </c>
      <c r="C18" t="s">
        <v>62</v>
      </c>
      <c r="D18" t="s">
        <v>63</v>
      </c>
      <c r="E18" t="s">
        <v>21</v>
      </c>
      <c r="F18" t="s">
        <v>111</v>
      </c>
      <c r="G18" t="s">
        <v>104</v>
      </c>
      <c r="H18" s="11">
        <v>0.375</v>
      </c>
      <c r="I18" s="11">
        <v>0.37916666666666671</v>
      </c>
      <c r="J18" s="11">
        <v>0.75</v>
      </c>
      <c r="K18" s="11">
        <v>0.74375000000000002</v>
      </c>
      <c r="L18" t="s">
        <v>9</v>
      </c>
      <c r="M18" s="5">
        <f>IF(OR(I18="",H18=""),"",MAX(0,ROUND((I18-H18-Parametros!$B$4)*1440,0)))</f>
        <v>0</v>
      </c>
      <c r="N18" t="str">
        <f t="shared" si="0"/>
        <v>Sin novedad</v>
      </c>
      <c r="O18" t="s">
        <v>124</v>
      </c>
    </row>
    <row r="19" spans="1:15" x14ac:dyDescent="0.3">
      <c r="A19" s="13">
        <v>46055</v>
      </c>
      <c r="B19" t="s">
        <v>120</v>
      </c>
      <c r="C19" t="s">
        <v>64</v>
      </c>
      <c r="D19" t="s">
        <v>65</v>
      </c>
      <c r="E19" t="s">
        <v>25</v>
      </c>
      <c r="F19" t="s">
        <v>112</v>
      </c>
      <c r="G19" t="s">
        <v>90</v>
      </c>
      <c r="H19" s="11">
        <v>0.375</v>
      </c>
      <c r="I19" s="11">
        <v>0.37083333333333329</v>
      </c>
      <c r="J19" s="11">
        <v>0.75</v>
      </c>
      <c r="K19" s="11">
        <v>0.75347222222222221</v>
      </c>
      <c r="L19" t="s">
        <v>9</v>
      </c>
      <c r="M19" s="5">
        <f>IF(OR(I19="",H19=""),"",MAX(0,ROUND((I19-H19-Parametros!$B$4)*1440,0)))</f>
        <v>0</v>
      </c>
      <c r="N19" t="str">
        <f t="shared" si="0"/>
        <v>Sin novedad</v>
      </c>
      <c r="O19" t="s">
        <v>124</v>
      </c>
    </row>
    <row r="20" spans="1:15" x14ac:dyDescent="0.3">
      <c r="A20" s="13">
        <v>46056</v>
      </c>
      <c r="B20" t="s">
        <v>126</v>
      </c>
      <c r="C20" t="s">
        <v>30</v>
      </c>
      <c r="D20" t="s">
        <v>31</v>
      </c>
      <c r="E20" t="s">
        <v>24</v>
      </c>
      <c r="F20" t="s">
        <v>89</v>
      </c>
      <c r="G20" t="s">
        <v>90</v>
      </c>
      <c r="H20" s="11">
        <v>0.375</v>
      </c>
      <c r="I20" s="11">
        <v>0.38194444444444442</v>
      </c>
      <c r="J20" s="11">
        <v>0.75</v>
      </c>
      <c r="K20" s="11">
        <v>0.75555555555555554</v>
      </c>
      <c r="L20" t="s">
        <v>9</v>
      </c>
      <c r="M20" s="5">
        <f>IF(OR(I20="",H20=""),"",MAX(0,ROUND((I20-H20-Parametros!$B$4)*1440,0)))</f>
        <v>0</v>
      </c>
      <c r="N20" t="str">
        <f t="shared" si="0"/>
        <v>Sin novedad</v>
      </c>
      <c r="O20" t="s">
        <v>124</v>
      </c>
    </row>
    <row r="21" spans="1:15" x14ac:dyDescent="0.3">
      <c r="A21" s="13">
        <v>46056</v>
      </c>
      <c r="B21" t="s">
        <v>126</v>
      </c>
      <c r="C21" t="s">
        <v>32</v>
      </c>
      <c r="D21" t="s">
        <v>33</v>
      </c>
      <c r="E21" t="s">
        <v>23</v>
      </c>
      <c r="F21" t="s">
        <v>92</v>
      </c>
      <c r="G21" t="s">
        <v>90</v>
      </c>
      <c r="H21" s="11">
        <v>0.375</v>
      </c>
      <c r="I21" s="11">
        <v>0.37638888888888888</v>
      </c>
      <c r="J21" s="11">
        <v>0.75</v>
      </c>
      <c r="K21" s="11">
        <v>0.76180555555555551</v>
      </c>
      <c r="L21" t="s">
        <v>9</v>
      </c>
      <c r="M21" s="5">
        <f>IF(OR(I21="",H21=""),"",MAX(0,ROUND((I21-H21-Parametros!$B$4)*1440,0)))</f>
        <v>0</v>
      </c>
      <c r="N21" t="str">
        <f t="shared" si="0"/>
        <v>Sin novedad</v>
      </c>
      <c r="O21" t="s">
        <v>124</v>
      </c>
    </row>
    <row r="22" spans="1:15" x14ac:dyDescent="0.3">
      <c r="A22" s="13">
        <v>46056</v>
      </c>
      <c r="B22" t="s">
        <v>126</v>
      </c>
      <c r="C22" t="s">
        <v>34</v>
      </c>
      <c r="D22" t="s">
        <v>35</v>
      </c>
      <c r="E22" t="s">
        <v>22</v>
      </c>
      <c r="F22" t="s">
        <v>94</v>
      </c>
      <c r="G22" t="s">
        <v>90</v>
      </c>
      <c r="H22" s="11">
        <v>0.375</v>
      </c>
      <c r="I22" s="11">
        <v>0.37430555555555561</v>
      </c>
      <c r="J22" s="11">
        <v>0.75</v>
      </c>
      <c r="K22" s="11">
        <v>0.76527777777777772</v>
      </c>
      <c r="L22" t="s">
        <v>9</v>
      </c>
      <c r="M22" s="5">
        <f>IF(OR(I22="",H22=""),"",MAX(0,ROUND((I22-H22-Parametros!$B$4)*1440,0)))</f>
        <v>0</v>
      </c>
      <c r="N22" t="str">
        <f t="shared" si="0"/>
        <v>Sin novedad</v>
      </c>
      <c r="O22" t="s">
        <v>123</v>
      </c>
    </row>
    <row r="23" spans="1:15" x14ac:dyDescent="0.3">
      <c r="A23" s="13">
        <v>46056</v>
      </c>
      <c r="B23" t="s">
        <v>126</v>
      </c>
      <c r="C23" t="s">
        <v>36</v>
      </c>
      <c r="D23" t="s">
        <v>37</v>
      </c>
      <c r="E23" t="s">
        <v>25</v>
      </c>
      <c r="F23" t="s">
        <v>95</v>
      </c>
      <c r="G23" t="s">
        <v>90</v>
      </c>
      <c r="H23" s="11">
        <v>0.375</v>
      </c>
      <c r="I23" s="11">
        <v>0.375</v>
      </c>
      <c r="J23" s="11">
        <v>0.75</v>
      </c>
      <c r="K23" s="11">
        <v>0.75902777777777775</v>
      </c>
      <c r="L23" t="s">
        <v>9</v>
      </c>
      <c r="M23" s="5">
        <f>IF(OR(I23="",H23=""),"",MAX(0,ROUND((I23-H23-Parametros!$B$4)*1440,0)))</f>
        <v>0</v>
      </c>
      <c r="N23" t="str">
        <f t="shared" si="0"/>
        <v>Sin novedad</v>
      </c>
      <c r="O23" t="s">
        <v>123</v>
      </c>
    </row>
    <row r="24" spans="1:15" x14ac:dyDescent="0.3">
      <c r="A24" s="13">
        <v>46056</v>
      </c>
      <c r="B24" t="s">
        <v>126</v>
      </c>
      <c r="C24" t="s">
        <v>38</v>
      </c>
      <c r="D24" t="s">
        <v>39</v>
      </c>
      <c r="E24" t="s">
        <v>21</v>
      </c>
      <c r="F24" t="s">
        <v>97</v>
      </c>
      <c r="G24" t="s">
        <v>90</v>
      </c>
      <c r="H24" s="11">
        <v>0.375</v>
      </c>
      <c r="I24" s="11">
        <v>0.37361111111111112</v>
      </c>
      <c r="J24" s="11">
        <v>0.75</v>
      </c>
      <c r="K24" s="11">
        <v>0.7631944444444444</v>
      </c>
      <c r="L24" t="s">
        <v>9</v>
      </c>
      <c r="M24" s="5">
        <f>IF(OR(I24="",H24=""),"",MAX(0,ROUND((I24-H24-Parametros!$B$4)*1440,0)))</f>
        <v>0</v>
      </c>
      <c r="N24" t="str">
        <f t="shared" si="0"/>
        <v>Sin novedad</v>
      </c>
      <c r="O24" t="s">
        <v>124</v>
      </c>
    </row>
    <row r="25" spans="1:15" x14ac:dyDescent="0.3">
      <c r="A25" s="13">
        <v>46056</v>
      </c>
      <c r="B25" t="s">
        <v>126</v>
      </c>
      <c r="C25" t="s">
        <v>40</v>
      </c>
      <c r="D25" t="s">
        <v>41</v>
      </c>
      <c r="E25" t="s">
        <v>23</v>
      </c>
      <c r="F25" t="s">
        <v>98</v>
      </c>
      <c r="G25" t="s">
        <v>99</v>
      </c>
      <c r="H25" s="11">
        <v>0.375</v>
      </c>
      <c r="I25" s="11">
        <v>0.36527777777777781</v>
      </c>
      <c r="J25" s="11">
        <v>0.75</v>
      </c>
      <c r="K25" s="11">
        <v>0.76944444444444449</v>
      </c>
      <c r="L25" t="s">
        <v>9</v>
      </c>
      <c r="M25" s="5">
        <f>IF(OR(I25="",H25=""),"",MAX(0,ROUND((I25-H25-Parametros!$B$4)*1440,0)))</f>
        <v>0</v>
      </c>
      <c r="N25" t="str">
        <f t="shared" si="0"/>
        <v>Sin novedad</v>
      </c>
      <c r="O25" t="s">
        <v>124</v>
      </c>
    </row>
    <row r="26" spans="1:15" x14ac:dyDescent="0.3">
      <c r="A26" s="13">
        <v>46056</v>
      </c>
      <c r="B26" t="s">
        <v>126</v>
      </c>
      <c r="C26" t="s">
        <v>42</v>
      </c>
      <c r="D26" t="s">
        <v>43</v>
      </c>
      <c r="E26" t="s">
        <v>24</v>
      </c>
      <c r="F26" t="s">
        <v>100</v>
      </c>
      <c r="G26" t="s">
        <v>90</v>
      </c>
      <c r="H26" s="11">
        <v>0.375</v>
      </c>
      <c r="I26" s="11">
        <v>0.36388888888888887</v>
      </c>
      <c r="J26" s="11">
        <v>0.75</v>
      </c>
      <c r="K26" s="11">
        <v>0.7583333333333333</v>
      </c>
      <c r="L26" t="s">
        <v>9</v>
      </c>
      <c r="M26" s="5">
        <f>IF(OR(I26="",H26=""),"",MAX(0,ROUND((I26-H26-Parametros!$B$4)*1440,0)))</f>
        <v>0</v>
      </c>
      <c r="N26" t="str">
        <f t="shared" si="0"/>
        <v>Sin novedad</v>
      </c>
      <c r="O26" t="s">
        <v>123</v>
      </c>
    </row>
    <row r="27" spans="1:15" x14ac:dyDescent="0.3">
      <c r="A27" s="13">
        <v>46056</v>
      </c>
      <c r="B27" t="s">
        <v>126</v>
      </c>
      <c r="C27" t="s">
        <v>44</v>
      </c>
      <c r="D27" t="s">
        <v>45</v>
      </c>
      <c r="E27" t="s">
        <v>25</v>
      </c>
      <c r="F27" t="s">
        <v>101</v>
      </c>
      <c r="G27" t="s">
        <v>90</v>
      </c>
      <c r="H27" s="11">
        <v>0.375</v>
      </c>
      <c r="I27" s="11">
        <v>0.36805555555555558</v>
      </c>
      <c r="J27" s="11">
        <v>0.75</v>
      </c>
      <c r="K27" s="11">
        <v>0.76597222222222228</v>
      </c>
      <c r="L27" t="s">
        <v>9</v>
      </c>
      <c r="M27" s="5">
        <f>IF(OR(I27="",H27=""),"",MAX(0,ROUND((I27-H27-Parametros!$B$4)*1440,0)))</f>
        <v>0</v>
      </c>
      <c r="N27" t="str">
        <f t="shared" si="0"/>
        <v>Sin novedad</v>
      </c>
      <c r="O27" t="s">
        <v>124</v>
      </c>
    </row>
    <row r="28" spans="1:15" x14ac:dyDescent="0.3">
      <c r="A28" s="13">
        <v>46056</v>
      </c>
      <c r="B28" t="s">
        <v>126</v>
      </c>
      <c r="C28" t="s">
        <v>46</v>
      </c>
      <c r="D28" t="s">
        <v>47</v>
      </c>
      <c r="E28" t="s">
        <v>22</v>
      </c>
      <c r="F28" t="s">
        <v>102</v>
      </c>
      <c r="G28" t="s">
        <v>90</v>
      </c>
      <c r="H28" s="11">
        <v>0.375</v>
      </c>
      <c r="I28" s="11">
        <v>0.38194444444444442</v>
      </c>
      <c r="J28" s="11">
        <v>0.75</v>
      </c>
      <c r="K28" s="11">
        <v>0.76527777777777772</v>
      </c>
      <c r="L28" t="s">
        <v>9</v>
      </c>
      <c r="M28" s="5">
        <f>IF(OR(I28="",H28=""),"",MAX(0,ROUND((I28-H28-Parametros!$B$4)*1440,0)))</f>
        <v>0</v>
      </c>
      <c r="N28" t="str">
        <f t="shared" si="0"/>
        <v>Sin novedad</v>
      </c>
      <c r="O28" t="s">
        <v>123</v>
      </c>
    </row>
    <row r="29" spans="1:15" x14ac:dyDescent="0.3">
      <c r="A29" s="13">
        <v>46056</v>
      </c>
      <c r="B29" t="s">
        <v>126</v>
      </c>
      <c r="C29" t="s">
        <v>48</v>
      </c>
      <c r="D29" t="s">
        <v>49</v>
      </c>
      <c r="E29" t="s">
        <v>21</v>
      </c>
      <c r="F29" t="s">
        <v>103</v>
      </c>
      <c r="G29" t="s">
        <v>104</v>
      </c>
      <c r="H29" s="11">
        <v>0.375</v>
      </c>
      <c r="I29" s="11">
        <v>0.36875000000000002</v>
      </c>
      <c r="J29" s="11">
        <v>0.75</v>
      </c>
      <c r="K29" s="11">
        <v>0.76041666666666663</v>
      </c>
      <c r="L29" t="s">
        <v>9</v>
      </c>
      <c r="M29" s="5">
        <f>IF(OR(I29="",H29=""),"",MAX(0,ROUND((I29-H29-Parametros!$B$4)*1440,0)))</f>
        <v>0</v>
      </c>
      <c r="N29" t="str">
        <f t="shared" si="0"/>
        <v>Sin novedad</v>
      </c>
      <c r="O29" t="s">
        <v>124</v>
      </c>
    </row>
    <row r="30" spans="1:15" x14ac:dyDescent="0.3">
      <c r="A30" s="13">
        <v>46056</v>
      </c>
      <c r="B30" t="s">
        <v>126</v>
      </c>
      <c r="C30" t="s">
        <v>50</v>
      </c>
      <c r="D30" t="s">
        <v>51</v>
      </c>
      <c r="E30" t="s">
        <v>23</v>
      </c>
      <c r="F30" t="s">
        <v>105</v>
      </c>
      <c r="G30" t="s">
        <v>99</v>
      </c>
      <c r="H30" s="11">
        <v>0.375</v>
      </c>
      <c r="I30" s="11">
        <v>0.38194444444444442</v>
      </c>
      <c r="J30" s="11">
        <v>0.75</v>
      </c>
      <c r="K30" s="11">
        <v>0.75277777777777777</v>
      </c>
      <c r="L30" t="s">
        <v>9</v>
      </c>
      <c r="M30" s="5">
        <f>IF(OR(I30="",H30=""),"",MAX(0,ROUND((I30-H30-Parametros!$B$4)*1440,0)))</f>
        <v>0</v>
      </c>
      <c r="N30" t="str">
        <f t="shared" si="0"/>
        <v>Sin novedad</v>
      </c>
      <c r="O30" t="s">
        <v>125</v>
      </c>
    </row>
    <row r="31" spans="1:15" x14ac:dyDescent="0.3">
      <c r="A31" s="13">
        <v>46056</v>
      </c>
      <c r="B31" t="s">
        <v>126</v>
      </c>
      <c r="C31" t="s">
        <v>52</v>
      </c>
      <c r="D31" t="s">
        <v>53</v>
      </c>
      <c r="E31" t="s">
        <v>25</v>
      </c>
      <c r="F31" t="s">
        <v>106</v>
      </c>
      <c r="G31" t="s">
        <v>90</v>
      </c>
      <c r="H31" s="11">
        <v>0.375</v>
      </c>
      <c r="I31" s="11">
        <v>0.36458333333333331</v>
      </c>
      <c r="J31" s="11">
        <v>0.75</v>
      </c>
      <c r="K31" s="11">
        <v>0.76944444444444449</v>
      </c>
      <c r="L31" t="s">
        <v>9</v>
      </c>
      <c r="M31" s="5">
        <f>IF(OR(I31="",H31=""),"",MAX(0,ROUND((I31-H31-Parametros!$B$4)*1440,0)))</f>
        <v>0</v>
      </c>
      <c r="N31" t="str">
        <f t="shared" si="0"/>
        <v>Sin novedad</v>
      </c>
      <c r="O31" t="s">
        <v>123</v>
      </c>
    </row>
    <row r="32" spans="1:15" x14ac:dyDescent="0.3">
      <c r="A32" s="13">
        <v>46056</v>
      </c>
      <c r="B32" t="s">
        <v>126</v>
      </c>
      <c r="C32" t="s">
        <v>54</v>
      </c>
      <c r="D32" t="s">
        <v>55</v>
      </c>
      <c r="E32" t="s">
        <v>21</v>
      </c>
      <c r="F32" t="s">
        <v>107</v>
      </c>
      <c r="G32" t="s">
        <v>104</v>
      </c>
      <c r="H32" s="11">
        <v>0.375</v>
      </c>
      <c r="I32" s="11">
        <v>0.36666666666666659</v>
      </c>
      <c r="J32" s="11">
        <v>0.75</v>
      </c>
      <c r="K32" s="11">
        <v>0.74791666666666667</v>
      </c>
      <c r="L32" t="s">
        <v>9</v>
      </c>
      <c r="M32" s="5">
        <f>IF(OR(I32="",H32=""),"",MAX(0,ROUND((I32-H32-Parametros!$B$4)*1440,0)))</f>
        <v>0</v>
      </c>
      <c r="N32" t="str">
        <f t="shared" si="0"/>
        <v>Sin novedad</v>
      </c>
      <c r="O32" t="s">
        <v>123</v>
      </c>
    </row>
    <row r="33" spans="1:15" x14ac:dyDescent="0.3">
      <c r="A33" s="13">
        <v>46056</v>
      </c>
      <c r="B33" t="s">
        <v>126</v>
      </c>
      <c r="C33" t="s">
        <v>56</v>
      </c>
      <c r="D33" t="s">
        <v>57</v>
      </c>
      <c r="E33" t="s">
        <v>23</v>
      </c>
      <c r="F33" t="s">
        <v>108</v>
      </c>
      <c r="G33" t="s">
        <v>99</v>
      </c>
      <c r="H33" s="11">
        <v>0.375</v>
      </c>
      <c r="I33" s="11">
        <v>0.37916666666666671</v>
      </c>
      <c r="J33" s="11">
        <v>0.75</v>
      </c>
      <c r="K33" s="11">
        <v>0.76458333333333328</v>
      </c>
      <c r="L33" t="s">
        <v>9</v>
      </c>
      <c r="M33" s="5">
        <f>IF(OR(I33="",H33=""),"",MAX(0,ROUND((I33-H33-Parametros!$B$4)*1440,0)))</f>
        <v>0</v>
      </c>
      <c r="N33" t="str">
        <f t="shared" si="0"/>
        <v>Sin novedad</v>
      </c>
      <c r="O33" t="s">
        <v>124</v>
      </c>
    </row>
    <row r="34" spans="1:15" x14ac:dyDescent="0.3">
      <c r="A34" s="13">
        <v>46056</v>
      </c>
      <c r="B34" t="s">
        <v>126</v>
      </c>
      <c r="C34" t="s">
        <v>58</v>
      </c>
      <c r="D34" t="s">
        <v>59</v>
      </c>
      <c r="E34" t="s">
        <v>22</v>
      </c>
      <c r="F34" t="s">
        <v>109</v>
      </c>
      <c r="G34" t="s">
        <v>90</v>
      </c>
      <c r="H34" s="11">
        <v>0.375</v>
      </c>
      <c r="I34" s="11">
        <v>0.36458333333333331</v>
      </c>
      <c r="J34" s="11">
        <v>0.75</v>
      </c>
      <c r="K34" s="11">
        <v>0.75763888888888886</v>
      </c>
      <c r="L34" t="s">
        <v>9</v>
      </c>
      <c r="M34" s="5">
        <f>IF(OR(I34="",H34=""),"",MAX(0,ROUND((I34-H34-Parametros!$B$4)*1440,0)))</f>
        <v>0</v>
      </c>
      <c r="N34" t="str">
        <f t="shared" si="0"/>
        <v>Sin novedad</v>
      </c>
      <c r="O34" t="s">
        <v>123</v>
      </c>
    </row>
    <row r="35" spans="1:15" x14ac:dyDescent="0.3">
      <c r="A35" s="13">
        <v>46056</v>
      </c>
      <c r="B35" t="s">
        <v>126</v>
      </c>
      <c r="C35" t="s">
        <v>60</v>
      </c>
      <c r="D35" t="s">
        <v>61</v>
      </c>
      <c r="E35" t="s">
        <v>24</v>
      </c>
      <c r="F35" t="s">
        <v>110</v>
      </c>
      <c r="G35" t="s">
        <v>90</v>
      </c>
      <c r="H35" s="11">
        <v>0.375</v>
      </c>
      <c r="I35" s="11">
        <v>0.375</v>
      </c>
      <c r="J35" s="11">
        <v>0.75</v>
      </c>
      <c r="K35" s="11">
        <v>0.74513888888888891</v>
      </c>
      <c r="L35" t="s">
        <v>9</v>
      </c>
      <c r="M35" s="5">
        <f>IF(OR(I35="",H35=""),"",MAX(0,ROUND((I35-H35-Parametros!$B$4)*1440,0)))</f>
        <v>0</v>
      </c>
      <c r="N35" t="str">
        <f t="shared" si="0"/>
        <v>Sin novedad</v>
      </c>
      <c r="O35" t="s">
        <v>124</v>
      </c>
    </row>
    <row r="36" spans="1:15" x14ac:dyDescent="0.3">
      <c r="A36" s="13">
        <v>46056</v>
      </c>
      <c r="B36" t="s">
        <v>126</v>
      </c>
      <c r="C36" t="s">
        <v>62</v>
      </c>
      <c r="D36" t="s">
        <v>63</v>
      </c>
      <c r="E36" t="s">
        <v>21</v>
      </c>
      <c r="F36" t="s">
        <v>111</v>
      </c>
      <c r="G36" t="s">
        <v>104</v>
      </c>
      <c r="H36" s="11">
        <v>0.375</v>
      </c>
      <c r="I36" s="11">
        <v>0.37916666666666671</v>
      </c>
      <c r="J36" s="11">
        <v>0.75</v>
      </c>
      <c r="K36" s="11">
        <v>0.76527777777777772</v>
      </c>
      <c r="L36" t="s">
        <v>9</v>
      </c>
      <c r="M36" s="5">
        <f>IF(OR(I36="",H36=""),"",MAX(0,ROUND((I36-H36-Parametros!$B$4)*1440,0)))</f>
        <v>0</v>
      </c>
      <c r="N36" t="str">
        <f t="shared" si="0"/>
        <v>Sin novedad</v>
      </c>
      <c r="O36" t="s">
        <v>124</v>
      </c>
    </row>
    <row r="37" spans="1:15" x14ac:dyDescent="0.3">
      <c r="A37" s="13">
        <v>46056</v>
      </c>
      <c r="B37" t="s">
        <v>126</v>
      </c>
      <c r="C37" t="s">
        <v>64</v>
      </c>
      <c r="D37" t="s">
        <v>65</v>
      </c>
      <c r="E37" t="s">
        <v>25</v>
      </c>
      <c r="F37" t="s">
        <v>112</v>
      </c>
      <c r="G37" t="s">
        <v>90</v>
      </c>
      <c r="H37" s="11">
        <v>0.375</v>
      </c>
      <c r="I37" s="11">
        <v>0.37430555555555561</v>
      </c>
      <c r="J37" s="11">
        <v>0.75</v>
      </c>
      <c r="K37" s="11">
        <v>0.74861111111111112</v>
      </c>
      <c r="L37" t="s">
        <v>9</v>
      </c>
      <c r="M37" s="5">
        <f>IF(OR(I37="",H37=""),"",MAX(0,ROUND((I37-H37-Parametros!$B$4)*1440,0)))</f>
        <v>0</v>
      </c>
      <c r="N37" t="str">
        <f t="shared" si="0"/>
        <v>Sin novedad</v>
      </c>
      <c r="O37" t="s">
        <v>123</v>
      </c>
    </row>
    <row r="38" spans="1:15" x14ac:dyDescent="0.3">
      <c r="A38" s="13">
        <v>46057</v>
      </c>
      <c r="B38" t="s">
        <v>127</v>
      </c>
      <c r="C38" t="s">
        <v>30</v>
      </c>
      <c r="D38" t="s">
        <v>31</v>
      </c>
      <c r="E38" t="s">
        <v>24</v>
      </c>
      <c r="F38" t="s">
        <v>89</v>
      </c>
      <c r="G38" t="s">
        <v>90</v>
      </c>
      <c r="H38" s="11">
        <v>0.375</v>
      </c>
      <c r="I38" s="11">
        <v>0.36666666666666659</v>
      </c>
      <c r="J38" s="11">
        <v>0.75</v>
      </c>
      <c r="K38" s="11">
        <v>0.76527777777777772</v>
      </c>
      <c r="L38" t="s">
        <v>9</v>
      </c>
      <c r="M38" s="5">
        <f>IF(OR(I38="",H38=""),"",MAX(0,ROUND((I38-H38-Parametros!$B$4)*1440,0)))</f>
        <v>0</v>
      </c>
      <c r="N38" t="str">
        <f t="shared" si="0"/>
        <v>Sin novedad</v>
      </c>
      <c r="O38" t="s">
        <v>125</v>
      </c>
    </row>
    <row r="39" spans="1:15" x14ac:dyDescent="0.3">
      <c r="A39" s="13">
        <v>46057</v>
      </c>
      <c r="B39" t="s">
        <v>127</v>
      </c>
      <c r="C39" t="s">
        <v>32</v>
      </c>
      <c r="D39" t="s">
        <v>33</v>
      </c>
      <c r="E39" t="s">
        <v>23</v>
      </c>
      <c r="F39" t="s">
        <v>92</v>
      </c>
      <c r="G39" t="s">
        <v>90</v>
      </c>
      <c r="H39" s="11">
        <v>0.375</v>
      </c>
      <c r="I39" s="11">
        <v>0.37083333333333329</v>
      </c>
      <c r="J39" s="11">
        <v>0.75</v>
      </c>
      <c r="K39" s="11">
        <v>0.75763888888888886</v>
      </c>
      <c r="L39" t="s">
        <v>9</v>
      </c>
      <c r="M39" s="5">
        <f>IF(OR(I39="",H39=""),"",MAX(0,ROUND((I39-H39-Parametros!$B$4)*1440,0)))</f>
        <v>0</v>
      </c>
      <c r="N39" t="str">
        <f t="shared" si="0"/>
        <v>Sin novedad</v>
      </c>
      <c r="O39" t="s">
        <v>123</v>
      </c>
    </row>
    <row r="40" spans="1:15" x14ac:dyDescent="0.3">
      <c r="A40" s="13">
        <v>46057</v>
      </c>
      <c r="B40" t="s">
        <v>127</v>
      </c>
      <c r="C40" t="s">
        <v>34</v>
      </c>
      <c r="D40" t="s">
        <v>35</v>
      </c>
      <c r="E40" t="s">
        <v>22</v>
      </c>
      <c r="F40" t="s">
        <v>94</v>
      </c>
      <c r="G40" t="s">
        <v>90</v>
      </c>
      <c r="H40" s="11">
        <v>0.375</v>
      </c>
      <c r="I40" s="11">
        <v>0.36736111111111108</v>
      </c>
      <c r="J40" s="11">
        <v>0.75</v>
      </c>
      <c r="K40" s="11">
        <v>0.75138888888888888</v>
      </c>
      <c r="L40" t="s">
        <v>9</v>
      </c>
      <c r="M40" s="5">
        <f>IF(OR(I40="",H40=""),"",MAX(0,ROUND((I40-H40-Parametros!$B$4)*1440,0)))</f>
        <v>0</v>
      </c>
      <c r="N40" t="str">
        <f t="shared" si="0"/>
        <v>Sin novedad</v>
      </c>
      <c r="O40" t="s">
        <v>124</v>
      </c>
    </row>
    <row r="41" spans="1:15" x14ac:dyDescent="0.3">
      <c r="A41" s="13">
        <v>46057</v>
      </c>
      <c r="B41" t="s">
        <v>127</v>
      </c>
      <c r="C41" t="s">
        <v>36</v>
      </c>
      <c r="D41" t="s">
        <v>37</v>
      </c>
      <c r="E41" t="s">
        <v>25</v>
      </c>
      <c r="F41" t="s">
        <v>95</v>
      </c>
      <c r="G41" t="s">
        <v>90</v>
      </c>
      <c r="H41" s="11">
        <v>0.375</v>
      </c>
      <c r="I41" s="11">
        <v>0.36736111111111108</v>
      </c>
      <c r="J41" s="11">
        <v>0.75</v>
      </c>
      <c r="K41" s="11">
        <v>0.76736111111111116</v>
      </c>
      <c r="L41" t="s">
        <v>9</v>
      </c>
      <c r="M41" s="5">
        <f>IF(OR(I41="",H41=""),"",MAX(0,ROUND((I41-H41-Parametros!$B$4)*1440,0)))</f>
        <v>0</v>
      </c>
      <c r="N41" t="str">
        <f t="shared" si="0"/>
        <v>Sin novedad</v>
      </c>
      <c r="O41" t="s">
        <v>124</v>
      </c>
    </row>
    <row r="42" spans="1:15" x14ac:dyDescent="0.3">
      <c r="A42" s="13">
        <v>46057</v>
      </c>
      <c r="B42" t="s">
        <v>127</v>
      </c>
      <c r="C42" t="s">
        <v>38</v>
      </c>
      <c r="D42" t="s">
        <v>39</v>
      </c>
      <c r="E42" t="s">
        <v>21</v>
      </c>
      <c r="F42" t="s">
        <v>97</v>
      </c>
      <c r="G42" t="s">
        <v>90</v>
      </c>
      <c r="H42" s="11">
        <v>0.375</v>
      </c>
      <c r="I42" s="11"/>
      <c r="J42" s="11">
        <v>0.75</v>
      </c>
      <c r="K42" s="11"/>
      <c r="L42" t="s">
        <v>13</v>
      </c>
      <c r="M42" s="5" t="str">
        <f>IF(OR(I42="",H42=""),"",MAX(0,ROUND((I42-H42-Parametros!$B$4)*1440,0)))</f>
        <v/>
      </c>
      <c r="N42" t="str">
        <f t="shared" si="0"/>
        <v>Falta</v>
      </c>
      <c r="O42" t="s">
        <v>128</v>
      </c>
    </row>
    <row r="43" spans="1:15" x14ac:dyDescent="0.3">
      <c r="A43" s="13">
        <v>46057</v>
      </c>
      <c r="B43" t="s">
        <v>127</v>
      </c>
      <c r="C43" t="s">
        <v>40</v>
      </c>
      <c r="D43" t="s">
        <v>41</v>
      </c>
      <c r="E43" t="s">
        <v>23</v>
      </c>
      <c r="F43" t="s">
        <v>98</v>
      </c>
      <c r="G43" t="s">
        <v>99</v>
      </c>
      <c r="H43" s="11">
        <v>0.375</v>
      </c>
      <c r="I43" s="11">
        <v>0.38124999999999998</v>
      </c>
      <c r="J43" s="11">
        <v>0.75</v>
      </c>
      <c r="K43" s="11">
        <v>0.75624999999999998</v>
      </c>
      <c r="L43" t="s">
        <v>9</v>
      </c>
      <c r="M43" s="5">
        <f>IF(OR(I43="",H43=""),"",MAX(0,ROUND((I43-H43-Parametros!$B$4)*1440,0)))</f>
        <v>0</v>
      </c>
      <c r="N43" t="str">
        <f t="shared" si="0"/>
        <v>Sin novedad</v>
      </c>
      <c r="O43" t="s">
        <v>124</v>
      </c>
    </row>
    <row r="44" spans="1:15" x14ac:dyDescent="0.3">
      <c r="A44" s="13">
        <v>46057</v>
      </c>
      <c r="B44" t="s">
        <v>127</v>
      </c>
      <c r="C44" t="s">
        <v>42</v>
      </c>
      <c r="D44" t="s">
        <v>43</v>
      </c>
      <c r="E44" t="s">
        <v>24</v>
      </c>
      <c r="F44" t="s">
        <v>100</v>
      </c>
      <c r="G44" t="s">
        <v>90</v>
      </c>
      <c r="H44" s="11">
        <v>0.375</v>
      </c>
      <c r="I44" s="11">
        <v>0.37291666666666667</v>
      </c>
      <c r="J44" s="11">
        <v>0.75</v>
      </c>
      <c r="K44" s="11">
        <v>0.75069444444444444</v>
      </c>
      <c r="L44" t="s">
        <v>9</v>
      </c>
      <c r="M44" s="5">
        <f>IF(OR(I44="",H44=""),"",MAX(0,ROUND((I44-H44-Parametros!$B$4)*1440,0)))</f>
        <v>0</v>
      </c>
      <c r="N44" t="str">
        <f t="shared" si="0"/>
        <v>Sin novedad</v>
      </c>
      <c r="O44" t="s">
        <v>125</v>
      </c>
    </row>
    <row r="45" spans="1:15" x14ac:dyDescent="0.3">
      <c r="A45" s="13">
        <v>46057</v>
      </c>
      <c r="B45" t="s">
        <v>127</v>
      </c>
      <c r="C45" t="s">
        <v>44</v>
      </c>
      <c r="D45" t="s">
        <v>45</v>
      </c>
      <c r="E45" t="s">
        <v>25</v>
      </c>
      <c r="F45" t="s">
        <v>101</v>
      </c>
      <c r="G45" t="s">
        <v>90</v>
      </c>
      <c r="H45" s="11">
        <v>0.375</v>
      </c>
      <c r="I45" s="11">
        <v>0.375</v>
      </c>
      <c r="J45" s="11">
        <v>0.75</v>
      </c>
      <c r="K45" s="11">
        <v>0.76666666666666672</v>
      </c>
      <c r="L45" t="s">
        <v>9</v>
      </c>
      <c r="M45" s="5">
        <f>IF(OR(I45="",H45=""),"",MAX(0,ROUND((I45-H45-Parametros!$B$4)*1440,0)))</f>
        <v>0</v>
      </c>
      <c r="N45" t="str">
        <f t="shared" si="0"/>
        <v>Sin novedad</v>
      </c>
      <c r="O45" t="s">
        <v>123</v>
      </c>
    </row>
    <row r="46" spans="1:15" x14ac:dyDescent="0.3">
      <c r="A46" s="13">
        <v>46057</v>
      </c>
      <c r="B46" t="s">
        <v>127</v>
      </c>
      <c r="C46" t="s">
        <v>46</v>
      </c>
      <c r="D46" t="s">
        <v>47</v>
      </c>
      <c r="E46" t="s">
        <v>22</v>
      </c>
      <c r="F46" t="s">
        <v>102</v>
      </c>
      <c r="G46" t="s">
        <v>90</v>
      </c>
      <c r="H46" s="11">
        <v>0.375</v>
      </c>
      <c r="I46" s="11">
        <v>0.37152777777777779</v>
      </c>
      <c r="J46" s="11">
        <v>0.75</v>
      </c>
      <c r="K46" s="11">
        <v>0.75</v>
      </c>
      <c r="L46" t="s">
        <v>9</v>
      </c>
      <c r="M46" s="5">
        <f>IF(OR(I46="",H46=""),"",MAX(0,ROUND((I46-H46-Parametros!$B$4)*1440,0)))</f>
        <v>0</v>
      </c>
      <c r="N46" t="str">
        <f t="shared" si="0"/>
        <v>Sin novedad</v>
      </c>
      <c r="O46" t="s">
        <v>124</v>
      </c>
    </row>
    <row r="47" spans="1:15" x14ac:dyDescent="0.3">
      <c r="A47" s="13">
        <v>46057</v>
      </c>
      <c r="B47" t="s">
        <v>127</v>
      </c>
      <c r="C47" t="s">
        <v>48</v>
      </c>
      <c r="D47" t="s">
        <v>49</v>
      </c>
      <c r="E47" t="s">
        <v>21</v>
      </c>
      <c r="F47" t="s">
        <v>103</v>
      </c>
      <c r="G47" t="s">
        <v>104</v>
      </c>
      <c r="H47" s="11">
        <v>0.375</v>
      </c>
      <c r="I47" s="11">
        <v>0.37152777777777779</v>
      </c>
      <c r="J47" s="11">
        <v>0.75</v>
      </c>
      <c r="K47" s="11">
        <v>0.75972222222222219</v>
      </c>
      <c r="L47" t="s">
        <v>9</v>
      </c>
      <c r="M47" s="5">
        <f>IF(OR(I47="",H47=""),"",MAX(0,ROUND((I47-H47-Parametros!$B$4)*1440,0)))</f>
        <v>0</v>
      </c>
      <c r="N47" t="str">
        <f t="shared" si="0"/>
        <v>Sin novedad</v>
      </c>
      <c r="O47" t="s">
        <v>123</v>
      </c>
    </row>
    <row r="48" spans="1:15" x14ac:dyDescent="0.3">
      <c r="A48" s="13">
        <v>46057</v>
      </c>
      <c r="B48" t="s">
        <v>127</v>
      </c>
      <c r="C48" t="s">
        <v>50</v>
      </c>
      <c r="D48" t="s">
        <v>51</v>
      </c>
      <c r="E48" t="s">
        <v>23</v>
      </c>
      <c r="F48" t="s">
        <v>105</v>
      </c>
      <c r="G48" t="s">
        <v>99</v>
      </c>
      <c r="H48" s="11">
        <v>0.375</v>
      </c>
      <c r="I48" s="11">
        <v>0.38680555555555562</v>
      </c>
      <c r="J48" s="11">
        <v>0.75</v>
      </c>
      <c r="K48" s="11">
        <v>0.74652777777777779</v>
      </c>
      <c r="L48" t="s">
        <v>11</v>
      </c>
      <c r="M48" s="5">
        <f>IF(OR(I48="",H48=""),"",MAX(0,ROUND((I48-H48-Parametros!$B$4)*1440,0)))</f>
        <v>7</v>
      </c>
      <c r="N48" t="str">
        <f t="shared" si="0"/>
        <v>Tardanza</v>
      </c>
      <c r="O48" t="s">
        <v>129</v>
      </c>
    </row>
    <row r="49" spans="1:15" x14ac:dyDescent="0.3">
      <c r="A49" s="13">
        <v>46057</v>
      </c>
      <c r="B49" t="s">
        <v>127</v>
      </c>
      <c r="C49" t="s">
        <v>52</v>
      </c>
      <c r="D49" t="s">
        <v>53</v>
      </c>
      <c r="E49" t="s">
        <v>25</v>
      </c>
      <c r="F49" t="s">
        <v>106</v>
      </c>
      <c r="G49" t="s">
        <v>90</v>
      </c>
      <c r="H49" s="11">
        <v>0.375</v>
      </c>
      <c r="I49" s="11">
        <v>0.36458333333333331</v>
      </c>
      <c r="J49" s="11">
        <v>0.75</v>
      </c>
      <c r="K49" s="11">
        <v>0.75208333333333333</v>
      </c>
      <c r="L49" t="s">
        <v>9</v>
      </c>
      <c r="M49" s="5">
        <f>IF(OR(I49="",H49=""),"",MAX(0,ROUND((I49-H49-Parametros!$B$4)*1440,0)))</f>
        <v>0</v>
      </c>
      <c r="N49" t="str">
        <f t="shared" si="0"/>
        <v>Sin novedad</v>
      </c>
      <c r="O49" t="s">
        <v>124</v>
      </c>
    </row>
    <row r="50" spans="1:15" x14ac:dyDescent="0.3">
      <c r="A50" s="13">
        <v>46057</v>
      </c>
      <c r="B50" t="s">
        <v>127</v>
      </c>
      <c r="C50" t="s">
        <v>54</v>
      </c>
      <c r="D50" t="s">
        <v>55</v>
      </c>
      <c r="E50" t="s">
        <v>21</v>
      </c>
      <c r="F50" t="s">
        <v>107</v>
      </c>
      <c r="G50" t="s">
        <v>104</v>
      </c>
      <c r="H50" s="11">
        <v>0.375</v>
      </c>
      <c r="I50" s="11">
        <v>0.37152777777777779</v>
      </c>
      <c r="J50" s="11">
        <v>0.75</v>
      </c>
      <c r="K50" s="11">
        <v>0.74930555555555556</v>
      </c>
      <c r="L50" t="s">
        <v>9</v>
      </c>
      <c r="M50" s="5">
        <f>IF(OR(I50="",H50=""),"",MAX(0,ROUND((I50-H50-Parametros!$B$4)*1440,0)))</f>
        <v>0</v>
      </c>
      <c r="N50" t="str">
        <f t="shared" si="0"/>
        <v>Sin novedad</v>
      </c>
      <c r="O50" t="s">
        <v>123</v>
      </c>
    </row>
    <row r="51" spans="1:15" x14ac:dyDescent="0.3">
      <c r="A51" s="13">
        <v>46057</v>
      </c>
      <c r="B51" t="s">
        <v>127</v>
      </c>
      <c r="C51" t="s">
        <v>56</v>
      </c>
      <c r="D51" t="s">
        <v>57</v>
      </c>
      <c r="E51" t="s">
        <v>23</v>
      </c>
      <c r="F51" t="s">
        <v>108</v>
      </c>
      <c r="G51" t="s">
        <v>99</v>
      </c>
      <c r="H51" s="11">
        <v>0.375</v>
      </c>
      <c r="I51" s="11">
        <v>0.36388888888888887</v>
      </c>
      <c r="J51" s="11">
        <v>0.75</v>
      </c>
      <c r="K51" s="11">
        <v>0.76111111111111107</v>
      </c>
      <c r="L51" t="s">
        <v>9</v>
      </c>
      <c r="M51" s="5">
        <f>IF(OR(I51="",H51=""),"",MAX(0,ROUND((I51-H51-Parametros!$B$4)*1440,0)))</f>
        <v>0</v>
      </c>
      <c r="N51" t="str">
        <f t="shared" si="0"/>
        <v>Sin novedad</v>
      </c>
      <c r="O51" t="s">
        <v>125</v>
      </c>
    </row>
    <row r="52" spans="1:15" x14ac:dyDescent="0.3">
      <c r="A52" s="13">
        <v>46057</v>
      </c>
      <c r="B52" t="s">
        <v>127</v>
      </c>
      <c r="C52" t="s">
        <v>58</v>
      </c>
      <c r="D52" t="s">
        <v>59</v>
      </c>
      <c r="E52" t="s">
        <v>22</v>
      </c>
      <c r="F52" t="s">
        <v>109</v>
      </c>
      <c r="G52" t="s">
        <v>90</v>
      </c>
      <c r="H52" s="11">
        <v>0.375</v>
      </c>
      <c r="I52" s="11">
        <v>0.37430555555555561</v>
      </c>
      <c r="J52" s="11">
        <v>0.75</v>
      </c>
      <c r="K52" s="11">
        <v>0.7416666666666667</v>
      </c>
      <c r="L52" t="s">
        <v>9</v>
      </c>
      <c r="M52" s="5">
        <f>IF(OR(I52="",H52=""),"",MAX(0,ROUND((I52-H52-Parametros!$B$4)*1440,0)))</f>
        <v>0</v>
      </c>
      <c r="N52" t="str">
        <f t="shared" si="0"/>
        <v>Sin novedad</v>
      </c>
      <c r="O52" t="s">
        <v>124</v>
      </c>
    </row>
    <row r="53" spans="1:15" x14ac:dyDescent="0.3">
      <c r="A53" s="13">
        <v>46057</v>
      </c>
      <c r="B53" t="s">
        <v>127</v>
      </c>
      <c r="C53" t="s">
        <v>60</v>
      </c>
      <c r="D53" t="s">
        <v>61</v>
      </c>
      <c r="E53" t="s">
        <v>24</v>
      </c>
      <c r="F53" t="s">
        <v>110</v>
      </c>
      <c r="G53" t="s">
        <v>90</v>
      </c>
      <c r="H53" s="11">
        <v>0.375</v>
      </c>
      <c r="I53" s="11">
        <v>0.3659722222222222</v>
      </c>
      <c r="J53" s="11">
        <v>0.75</v>
      </c>
      <c r="K53" s="11">
        <v>0.75972222222222219</v>
      </c>
      <c r="L53" t="s">
        <v>9</v>
      </c>
      <c r="M53" s="5">
        <f>IF(OR(I53="",H53=""),"",MAX(0,ROUND((I53-H53-Parametros!$B$4)*1440,0)))</f>
        <v>0</v>
      </c>
      <c r="N53" t="str">
        <f t="shared" si="0"/>
        <v>Sin novedad</v>
      </c>
      <c r="O53" t="s">
        <v>123</v>
      </c>
    </row>
    <row r="54" spans="1:15" x14ac:dyDescent="0.3">
      <c r="A54" s="13">
        <v>46057</v>
      </c>
      <c r="B54" t="s">
        <v>127</v>
      </c>
      <c r="C54" t="s">
        <v>62</v>
      </c>
      <c r="D54" t="s">
        <v>63</v>
      </c>
      <c r="E54" t="s">
        <v>21</v>
      </c>
      <c r="F54" t="s">
        <v>111</v>
      </c>
      <c r="G54" t="s">
        <v>104</v>
      </c>
      <c r="H54" s="11">
        <v>0.375</v>
      </c>
      <c r="I54" s="11">
        <v>0.38194444444444442</v>
      </c>
      <c r="J54" s="11">
        <v>0.75</v>
      </c>
      <c r="K54" s="11">
        <v>0.74375000000000002</v>
      </c>
      <c r="L54" t="s">
        <v>9</v>
      </c>
      <c r="M54" s="5">
        <f>IF(OR(I54="",H54=""),"",MAX(0,ROUND((I54-H54-Parametros!$B$4)*1440,0)))</f>
        <v>0</v>
      </c>
      <c r="N54" t="str">
        <f t="shared" si="0"/>
        <v>Sin novedad</v>
      </c>
      <c r="O54" t="s">
        <v>124</v>
      </c>
    </row>
    <row r="55" spans="1:15" x14ac:dyDescent="0.3">
      <c r="A55" s="13">
        <v>46057</v>
      </c>
      <c r="B55" t="s">
        <v>127</v>
      </c>
      <c r="C55" t="s">
        <v>64</v>
      </c>
      <c r="D55" t="s">
        <v>65</v>
      </c>
      <c r="E55" t="s">
        <v>25</v>
      </c>
      <c r="F55" t="s">
        <v>112</v>
      </c>
      <c r="G55" t="s">
        <v>90</v>
      </c>
      <c r="H55" s="11">
        <v>0.375</v>
      </c>
      <c r="I55" s="11">
        <v>0.36805555555555558</v>
      </c>
      <c r="J55" s="11">
        <v>0.75</v>
      </c>
      <c r="K55" s="11">
        <v>0.76180555555555551</v>
      </c>
      <c r="L55" t="s">
        <v>9</v>
      </c>
      <c r="M55" s="5">
        <f>IF(OR(I55="",H55=""),"",MAX(0,ROUND((I55-H55-Parametros!$B$4)*1440,0)))</f>
        <v>0</v>
      </c>
      <c r="N55" t="str">
        <f t="shared" si="0"/>
        <v>Sin novedad</v>
      </c>
      <c r="O55" t="s">
        <v>123</v>
      </c>
    </row>
    <row r="56" spans="1:15" x14ac:dyDescent="0.3">
      <c r="A56" s="13">
        <v>46058</v>
      </c>
      <c r="B56" t="s">
        <v>130</v>
      </c>
      <c r="C56" t="s">
        <v>30</v>
      </c>
      <c r="D56" t="s">
        <v>31</v>
      </c>
      <c r="E56" t="s">
        <v>24</v>
      </c>
      <c r="F56" t="s">
        <v>89</v>
      </c>
      <c r="G56" t="s">
        <v>90</v>
      </c>
      <c r="H56" s="11">
        <v>0.375</v>
      </c>
      <c r="I56" s="11">
        <v>0.37986111111111109</v>
      </c>
      <c r="J56" s="11">
        <v>0.75</v>
      </c>
      <c r="K56" s="11">
        <v>0.76597222222222228</v>
      </c>
      <c r="L56" t="s">
        <v>9</v>
      </c>
      <c r="M56" s="5">
        <f>IF(OR(I56="",H56=""),"",MAX(0,ROUND((I56-H56-Parametros!$B$4)*1440,0)))</f>
        <v>0</v>
      </c>
      <c r="N56" t="str">
        <f t="shared" si="0"/>
        <v>Sin novedad</v>
      </c>
      <c r="O56" t="s">
        <v>125</v>
      </c>
    </row>
    <row r="57" spans="1:15" x14ac:dyDescent="0.3">
      <c r="A57" s="13">
        <v>46058</v>
      </c>
      <c r="B57" t="s">
        <v>130</v>
      </c>
      <c r="C57" t="s">
        <v>32</v>
      </c>
      <c r="D57" t="s">
        <v>33</v>
      </c>
      <c r="E57" t="s">
        <v>23</v>
      </c>
      <c r="F57" t="s">
        <v>92</v>
      </c>
      <c r="G57" t="s">
        <v>90</v>
      </c>
      <c r="H57" s="11">
        <v>0.375</v>
      </c>
      <c r="I57" s="11">
        <v>0.39513888888888887</v>
      </c>
      <c r="J57" s="11">
        <v>0.75</v>
      </c>
      <c r="K57" s="11">
        <v>0.75347222222222221</v>
      </c>
      <c r="L57" t="s">
        <v>11</v>
      </c>
      <c r="M57" s="5">
        <f>IF(OR(I57="",H57=""),"",MAX(0,ROUND((I57-H57-Parametros!$B$4)*1440,0)))</f>
        <v>19</v>
      </c>
      <c r="N57" t="str">
        <f t="shared" si="0"/>
        <v>Tardanza</v>
      </c>
      <c r="O57" t="s">
        <v>121</v>
      </c>
    </row>
    <row r="58" spans="1:15" x14ac:dyDescent="0.3">
      <c r="A58" s="13">
        <v>46058</v>
      </c>
      <c r="B58" t="s">
        <v>130</v>
      </c>
      <c r="C58" t="s">
        <v>34</v>
      </c>
      <c r="D58" t="s">
        <v>35</v>
      </c>
      <c r="E58" t="s">
        <v>22</v>
      </c>
      <c r="F58" t="s">
        <v>94</v>
      </c>
      <c r="G58" t="s">
        <v>90</v>
      </c>
      <c r="H58" s="11">
        <v>0.375</v>
      </c>
      <c r="I58" s="11">
        <v>0.37847222222222221</v>
      </c>
      <c r="J58" s="11">
        <v>0.75</v>
      </c>
      <c r="K58" s="11">
        <v>0.75555555555555554</v>
      </c>
      <c r="L58" t="s">
        <v>9</v>
      </c>
      <c r="M58" s="5">
        <f>IF(OR(I58="",H58=""),"",MAX(0,ROUND((I58-H58-Parametros!$B$4)*1440,0)))</f>
        <v>0</v>
      </c>
      <c r="N58" t="str">
        <f t="shared" si="0"/>
        <v>Sin novedad</v>
      </c>
      <c r="O58" t="s">
        <v>124</v>
      </c>
    </row>
    <row r="59" spans="1:15" x14ac:dyDescent="0.3">
      <c r="A59" s="13">
        <v>46058</v>
      </c>
      <c r="B59" t="s">
        <v>130</v>
      </c>
      <c r="C59" t="s">
        <v>36</v>
      </c>
      <c r="D59" t="s">
        <v>37</v>
      </c>
      <c r="E59" t="s">
        <v>25</v>
      </c>
      <c r="F59" t="s">
        <v>95</v>
      </c>
      <c r="G59" t="s">
        <v>90</v>
      </c>
      <c r="H59" s="11">
        <v>0.375</v>
      </c>
      <c r="I59" s="11">
        <v>0.38124999999999998</v>
      </c>
      <c r="J59" s="11">
        <v>0.75</v>
      </c>
      <c r="K59" s="11">
        <v>0.76458333333333328</v>
      </c>
      <c r="L59" t="s">
        <v>9</v>
      </c>
      <c r="M59" s="5">
        <f>IF(OR(I59="",H59=""),"",MAX(0,ROUND((I59-H59-Parametros!$B$4)*1440,0)))</f>
        <v>0</v>
      </c>
      <c r="N59" t="str">
        <f t="shared" si="0"/>
        <v>Sin novedad</v>
      </c>
      <c r="O59" t="s">
        <v>124</v>
      </c>
    </row>
    <row r="60" spans="1:15" x14ac:dyDescent="0.3">
      <c r="A60" s="13">
        <v>46058</v>
      </c>
      <c r="B60" t="s">
        <v>130</v>
      </c>
      <c r="C60" t="s">
        <v>38</v>
      </c>
      <c r="D60" t="s">
        <v>39</v>
      </c>
      <c r="E60" t="s">
        <v>21</v>
      </c>
      <c r="F60" t="s">
        <v>97</v>
      </c>
      <c r="G60" t="s">
        <v>90</v>
      </c>
      <c r="H60" s="11">
        <v>0.375</v>
      </c>
      <c r="I60" s="11">
        <v>0.38124999999999998</v>
      </c>
      <c r="J60" s="11">
        <v>0.75</v>
      </c>
      <c r="K60" s="11">
        <v>0.74930555555555556</v>
      </c>
      <c r="L60" t="s">
        <v>9</v>
      </c>
      <c r="M60" s="5">
        <f>IF(OR(I60="",H60=""),"",MAX(0,ROUND((I60-H60-Parametros!$B$4)*1440,0)))</f>
        <v>0</v>
      </c>
      <c r="N60" t="str">
        <f t="shared" si="0"/>
        <v>Sin novedad</v>
      </c>
      <c r="O60" t="s">
        <v>124</v>
      </c>
    </row>
    <row r="61" spans="1:15" x14ac:dyDescent="0.3">
      <c r="A61" s="13">
        <v>46058</v>
      </c>
      <c r="B61" t="s">
        <v>130</v>
      </c>
      <c r="C61" t="s">
        <v>40</v>
      </c>
      <c r="D61" t="s">
        <v>41</v>
      </c>
      <c r="E61" t="s">
        <v>23</v>
      </c>
      <c r="F61" t="s">
        <v>98</v>
      </c>
      <c r="G61" t="s">
        <v>99</v>
      </c>
      <c r="H61" s="11">
        <v>0.375</v>
      </c>
      <c r="I61" s="11">
        <v>0.36736111111111108</v>
      </c>
      <c r="J61" s="11">
        <v>0.75</v>
      </c>
      <c r="K61" s="11">
        <v>0.75902777777777775</v>
      </c>
      <c r="L61" t="s">
        <v>9</v>
      </c>
      <c r="M61" s="5">
        <f>IF(OR(I61="",H61=""),"",MAX(0,ROUND((I61-H61-Parametros!$B$4)*1440,0)))</f>
        <v>0</v>
      </c>
      <c r="N61" t="str">
        <f t="shared" si="0"/>
        <v>Sin novedad</v>
      </c>
      <c r="O61" t="s">
        <v>124</v>
      </c>
    </row>
    <row r="62" spans="1:15" x14ac:dyDescent="0.3">
      <c r="A62" s="13">
        <v>46058</v>
      </c>
      <c r="B62" t="s">
        <v>130</v>
      </c>
      <c r="C62" t="s">
        <v>42</v>
      </c>
      <c r="D62" t="s">
        <v>43</v>
      </c>
      <c r="E62" t="s">
        <v>24</v>
      </c>
      <c r="F62" t="s">
        <v>100</v>
      </c>
      <c r="G62" t="s">
        <v>90</v>
      </c>
      <c r="H62" s="11">
        <v>0.375</v>
      </c>
      <c r="I62" s="11">
        <v>0.375</v>
      </c>
      <c r="J62" s="11">
        <v>0.75</v>
      </c>
      <c r="K62" s="11">
        <v>0.7680555555555556</v>
      </c>
      <c r="L62" t="s">
        <v>9</v>
      </c>
      <c r="M62" s="5">
        <f>IF(OR(I62="",H62=""),"",MAX(0,ROUND((I62-H62-Parametros!$B$4)*1440,0)))</f>
        <v>0</v>
      </c>
      <c r="N62" t="str">
        <f t="shared" si="0"/>
        <v>Sin novedad</v>
      </c>
      <c r="O62" t="s">
        <v>124</v>
      </c>
    </row>
    <row r="63" spans="1:15" x14ac:dyDescent="0.3">
      <c r="A63" s="13">
        <v>46058</v>
      </c>
      <c r="B63" t="s">
        <v>130</v>
      </c>
      <c r="C63" t="s">
        <v>44</v>
      </c>
      <c r="D63" t="s">
        <v>45</v>
      </c>
      <c r="E63" t="s">
        <v>25</v>
      </c>
      <c r="F63" t="s">
        <v>101</v>
      </c>
      <c r="G63" t="s">
        <v>90</v>
      </c>
      <c r="H63" s="11">
        <v>0.375</v>
      </c>
      <c r="I63" s="11">
        <v>0.375</v>
      </c>
      <c r="J63" s="11">
        <v>0.75</v>
      </c>
      <c r="K63" s="11">
        <v>0.76666666666666672</v>
      </c>
      <c r="L63" t="s">
        <v>9</v>
      </c>
      <c r="M63" s="5">
        <f>IF(OR(I63="",H63=""),"",MAX(0,ROUND((I63-H63-Parametros!$B$4)*1440,0)))</f>
        <v>0</v>
      </c>
      <c r="N63" t="str">
        <f t="shared" si="0"/>
        <v>Sin novedad</v>
      </c>
      <c r="O63" t="s">
        <v>125</v>
      </c>
    </row>
    <row r="64" spans="1:15" x14ac:dyDescent="0.3">
      <c r="A64" s="13">
        <v>46058</v>
      </c>
      <c r="B64" t="s">
        <v>130</v>
      </c>
      <c r="C64" t="s">
        <v>46</v>
      </c>
      <c r="D64" t="s">
        <v>47</v>
      </c>
      <c r="E64" t="s">
        <v>22</v>
      </c>
      <c r="F64" t="s">
        <v>102</v>
      </c>
      <c r="G64" t="s">
        <v>90</v>
      </c>
      <c r="H64" s="11">
        <v>0.375</v>
      </c>
      <c r="I64" s="11">
        <v>0.37708333333333333</v>
      </c>
      <c r="J64" s="11">
        <v>0.75</v>
      </c>
      <c r="K64" s="11">
        <v>0.75555555555555554</v>
      </c>
      <c r="L64" t="s">
        <v>9</v>
      </c>
      <c r="M64" s="5">
        <f>IF(OR(I64="",H64=""),"",MAX(0,ROUND((I64-H64-Parametros!$B$4)*1440,0)))</f>
        <v>0</v>
      </c>
      <c r="N64" t="str">
        <f t="shared" si="0"/>
        <v>Sin novedad</v>
      </c>
      <c r="O64" t="s">
        <v>124</v>
      </c>
    </row>
    <row r="65" spans="1:15" x14ac:dyDescent="0.3">
      <c r="A65" s="13">
        <v>46058</v>
      </c>
      <c r="B65" t="s">
        <v>130</v>
      </c>
      <c r="C65" t="s">
        <v>48</v>
      </c>
      <c r="D65" t="s">
        <v>49</v>
      </c>
      <c r="E65" t="s">
        <v>21</v>
      </c>
      <c r="F65" t="s">
        <v>103</v>
      </c>
      <c r="G65" t="s">
        <v>104</v>
      </c>
      <c r="H65" s="11">
        <v>0.375</v>
      </c>
      <c r="I65" s="11">
        <v>0.39583333333333331</v>
      </c>
      <c r="J65" s="11">
        <v>0.75</v>
      </c>
      <c r="K65" s="11">
        <v>0.76458333333333328</v>
      </c>
      <c r="L65" t="s">
        <v>11</v>
      </c>
      <c r="M65" s="5">
        <f>IF(OR(I65="",H65=""),"",MAX(0,ROUND((I65-H65-Parametros!$B$4)*1440,0)))</f>
        <v>20</v>
      </c>
      <c r="N65" t="str">
        <f t="shared" si="0"/>
        <v>Tardanza</v>
      </c>
      <c r="O65" t="s">
        <v>129</v>
      </c>
    </row>
    <row r="66" spans="1:15" x14ac:dyDescent="0.3">
      <c r="A66" s="13">
        <v>46058</v>
      </c>
      <c r="B66" t="s">
        <v>130</v>
      </c>
      <c r="C66" t="s">
        <v>50</v>
      </c>
      <c r="D66" t="s">
        <v>51</v>
      </c>
      <c r="E66" t="s">
        <v>23</v>
      </c>
      <c r="F66" t="s">
        <v>105</v>
      </c>
      <c r="G66" t="s">
        <v>99</v>
      </c>
      <c r="H66" s="11">
        <v>0.375</v>
      </c>
      <c r="I66" s="11">
        <v>0.36249999999999999</v>
      </c>
      <c r="J66" s="11">
        <v>0.75</v>
      </c>
      <c r="K66" s="11">
        <v>0.76180555555555551</v>
      </c>
      <c r="L66" t="s">
        <v>9</v>
      </c>
      <c r="M66" s="5">
        <f>IF(OR(I66="",H66=""),"",MAX(0,ROUND((I66-H66-Parametros!$B$4)*1440,0)))</f>
        <v>0</v>
      </c>
      <c r="N66" t="str">
        <f t="shared" ref="N66:N129" si="1">IF(L66="Asistencia","Sin novedad",L66)</f>
        <v>Sin novedad</v>
      </c>
      <c r="O66" t="s">
        <v>125</v>
      </c>
    </row>
    <row r="67" spans="1:15" x14ac:dyDescent="0.3">
      <c r="A67" s="13">
        <v>46058</v>
      </c>
      <c r="B67" t="s">
        <v>130</v>
      </c>
      <c r="C67" t="s">
        <v>52</v>
      </c>
      <c r="D67" t="s">
        <v>53</v>
      </c>
      <c r="E67" t="s">
        <v>25</v>
      </c>
      <c r="F67" t="s">
        <v>106</v>
      </c>
      <c r="G67" t="s">
        <v>90</v>
      </c>
      <c r="H67" s="11">
        <v>0.375</v>
      </c>
      <c r="I67" s="11">
        <v>0.36388888888888887</v>
      </c>
      <c r="J67" s="11">
        <v>0.75</v>
      </c>
      <c r="K67" s="11">
        <v>0.76527777777777772</v>
      </c>
      <c r="L67" t="s">
        <v>9</v>
      </c>
      <c r="M67" s="5">
        <f>IF(OR(I67="",H67=""),"",MAX(0,ROUND((I67-H67-Parametros!$B$4)*1440,0)))</f>
        <v>0</v>
      </c>
      <c r="N67" t="str">
        <f t="shared" si="1"/>
        <v>Sin novedad</v>
      </c>
      <c r="O67" t="s">
        <v>124</v>
      </c>
    </row>
    <row r="68" spans="1:15" x14ac:dyDescent="0.3">
      <c r="A68" s="13">
        <v>46058</v>
      </c>
      <c r="B68" t="s">
        <v>130</v>
      </c>
      <c r="C68" t="s">
        <v>54</v>
      </c>
      <c r="D68" t="s">
        <v>55</v>
      </c>
      <c r="E68" t="s">
        <v>21</v>
      </c>
      <c r="F68" t="s">
        <v>107</v>
      </c>
      <c r="G68" t="s">
        <v>104</v>
      </c>
      <c r="H68" s="11">
        <v>0.375</v>
      </c>
      <c r="I68" s="11">
        <v>0.37013888888888891</v>
      </c>
      <c r="J68" s="11">
        <v>0.75</v>
      </c>
      <c r="K68" s="11">
        <v>0.74444444444444446</v>
      </c>
      <c r="L68" t="s">
        <v>9</v>
      </c>
      <c r="M68" s="5">
        <f>IF(OR(I68="",H68=""),"",MAX(0,ROUND((I68-H68-Parametros!$B$4)*1440,0)))</f>
        <v>0</v>
      </c>
      <c r="N68" t="str">
        <f t="shared" si="1"/>
        <v>Sin novedad</v>
      </c>
      <c r="O68" t="s">
        <v>124</v>
      </c>
    </row>
    <row r="69" spans="1:15" x14ac:dyDescent="0.3">
      <c r="A69" s="13">
        <v>46058</v>
      </c>
      <c r="B69" t="s">
        <v>130</v>
      </c>
      <c r="C69" t="s">
        <v>56</v>
      </c>
      <c r="D69" t="s">
        <v>57</v>
      </c>
      <c r="E69" t="s">
        <v>23</v>
      </c>
      <c r="F69" t="s">
        <v>108</v>
      </c>
      <c r="G69" t="s">
        <v>99</v>
      </c>
      <c r="H69" s="11">
        <v>0.375</v>
      </c>
      <c r="I69" s="11">
        <v>0.40625</v>
      </c>
      <c r="J69" s="11">
        <v>0.75</v>
      </c>
      <c r="K69" s="11">
        <v>0.75763888888888886</v>
      </c>
      <c r="L69" t="s">
        <v>11</v>
      </c>
      <c r="M69" s="5">
        <f>IF(OR(I69="",H69=""),"",MAX(0,ROUND((I69-H69-Parametros!$B$4)*1440,0)))</f>
        <v>35</v>
      </c>
      <c r="N69" t="str">
        <f t="shared" si="1"/>
        <v>Tardanza</v>
      </c>
      <c r="O69" t="s">
        <v>122</v>
      </c>
    </row>
    <row r="70" spans="1:15" x14ac:dyDescent="0.3">
      <c r="A70" s="13">
        <v>46058</v>
      </c>
      <c r="B70" t="s">
        <v>130</v>
      </c>
      <c r="C70" t="s">
        <v>58</v>
      </c>
      <c r="D70" t="s">
        <v>59</v>
      </c>
      <c r="E70" t="s">
        <v>22</v>
      </c>
      <c r="F70" t="s">
        <v>109</v>
      </c>
      <c r="G70" t="s">
        <v>90</v>
      </c>
      <c r="H70" s="11">
        <v>0.375</v>
      </c>
      <c r="I70" s="11">
        <v>0.37361111111111112</v>
      </c>
      <c r="J70" s="11">
        <v>0.75</v>
      </c>
      <c r="K70" s="11">
        <v>0.7416666666666667</v>
      </c>
      <c r="L70" t="s">
        <v>9</v>
      </c>
      <c r="M70" s="5">
        <f>IF(OR(I70="",H70=""),"",MAX(0,ROUND((I70-H70-Parametros!$B$4)*1440,0)))</f>
        <v>0</v>
      </c>
      <c r="N70" t="str">
        <f t="shared" si="1"/>
        <v>Sin novedad</v>
      </c>
      <c r="O70" t="s">
        <v>125</v>
      </c>
    </row>
    <row r="71" spans="1:15" x14ac:dyDescent="0.3">
      <c r="A71" s="13">
        <v>46058</v>
      </c>
      <c r="B71" t="s">
        <v>130</v>
      </c>
      <c r="C71" t="s">
        <v>60</v>
      </c>
      <c r="D71" t="s">
        <v>61</v>
      </c>
      <c r="E71" t="s">
        <v>24</v>
      </c>
      <c r="F71" t="s">
        <v>110</v>
      </c>
      <c r="G71" t="s">
        <v>90</v>
      </c>
      <c r="H71" s="11">
        <v>0.375</v>
      </c>
      <c r="I71" s="11">
        <v>0.37708333333333333</v>
      </c>
      <c r="J71" s="11">
        <v>0.75</v>
      </c>
      <c r="K71" s="11">
        <v>0.74583333333333335</v>
      </c>
      <c r="L71" t="s">
        <v>9</v>
      </c>
      <c r="M71" s="5">
        <f>IF(OR(I71="",H71=""),"",MAX(0,ROUND((I71-H71-Parametros!$B$4)*1440,0)))</f>
        <v>0</v>
      </c>
      <c r="N71" t="str">
        <f t="shared" si="1"/>
        <v>Sin novedad</v>
      </c>
      <c r="O71" t="s">
        <v>124</v>
      </c>
    </row>
    <row r="72" spans="1:15" x14ac:dyDescent="0.3">
      <c r="A72" s="13">
        <v>46058</v>
      </c>
      <c r="B72" t="s">
        <v>130</v>
      </c>
      <c r="C72" t="s">
        <v>62</v>
      </c>
      <c r="D72" t="s">
        <v>63</v>
      </c>
      <c r="E72" t="s">
        <v>21</v>
      </c>
      <c r="F72" t="s">
        <v>111</v>
      </c>
      <c r="G72" t="s">
        <v>104</v>
      </c>
      <c r="H72" s="11">
        <v>0.375</v>
      </c>
      <c r="I72" s="11">
        <v>0.37847222222222221</v>
      </c>
      <c r="J72" s="11">
        <v>0.75</v>
      </c>
      <c r="K72" s="11">
        <v>0.76597222222222228</v>
      </c>
      <c r="L72" t="s">
        <v>9</v>
      </c>
      <c r="M72" s="5">
        <f>IF(OR(I72="",H72=""),"",MAX(0,ROUND((I72-H72-Parametros!$B$4)*1440,0)))</f>
        <v>0</v>
      </c>
      <c r="N72" t="str">
        <f t="shared" si="1"/>
        <v>Sin novedad</v>
      </c>
      <c r="O72" t="s">
        <v>124</v>
      </c>
    </row>
    <row r="73" spans="1:15" x14ac:dyDescent="0.3">
      <c r="A73" s="13">
        <v>46058</v>
      </c>
      <c r="B73" t="s">
        <v>130</v>
      </c>
      <c r="C73" t="s">
        <v>64</v>
      </c>
      <c r="D73" t="s">
        <v>65</v>
      </c>
      <c r="E73" t="s">
        <v>25</v>
      </c>
      <c r="F73" t="s">
        <v>112</v>
      </c>
      <c r="G73" t="s">
        <v>90</v>
      </c>
      <c r="H73" s="11">
        <v>0.375</v>
      </c>
      <c r="I73" s="11">
        <v>0.37777777777777782</v>
      </c>
      <c r="J73" s="11">
        <v>0.75</v>
      </c>
      <c r="K73" s="11">
        <v>0.75624999999999998</v>
      </c>
      <c r="L73" t="s">
        <v>9</v>
      </c>
      <c r="M73" s="5">
        <f>IF(OR(I73="",H73=""),"",MAX(0,ROUND((I73-H73-Parametros!$B$4)*1440,0)))</f>
        <v>0</v>
      </c>
      <c r="N73" t="str">
        <f t="shared" si="1"/>
        <v>Sin novedad</v>
      </c>
      <c r="O73" t="s">
        <v>124</v>
      </c>
    </row>
    <row r="74" spans="1:15" x14ac:dyDescent="0.3">
      <c r="A74" s="13">
        <v>46059</v>
      </c>
      <c r="B74" t="s">
        <v>131</v>
      </c>
      <c r="C74" t="s">
        <v>30</v>
      </c>
      <c r="D74" t="s">
        <v>31</v>
      </c>
      <c r="E74" t="s">
        <v>24</v>
      </c>
      <c r="F74" t="s">
        <v>89</v>
      </c>
      <c r="G74" t="s">
        <v>90</v>
      </c>
      <c r="H74" s="11">
        <v>0.375</v>
      </c>
      <c r="I74" s="11">
        <v>0.37361111111111112</v>
      </c>
      <c r="J74" s="11">
        <v>0.75</v>
      </c>
      <c r="K74" s="11">
        <v>0.7631944444444444</v>
      </c>
      <c r="L74" t="s">
        <v>9</v>
      </c>
      <c r="M74" s="5">
        <f>IF(OR(I74="",H74=""),"",MAX(0,ROUND((I74-H74-Parametros!$B$4)*1440,0)))</f>
        <v>0</v>
      </c>
      <c r="N74" t="str">
        <f t="shared" si="1"/>
        <v>Sin novedad</v>
      </c>
      <c r="O74" t="s">
        <v>123</v>
      </c>
    </row>
    <row r="75" spans="1:15" x14ac:dyDescent="0.3">
      <c r="A75" s="13">
        <v>46059</v>
      </c>
      <c r="B75" t="s">
        <v>131</v>
      </c>
      <c r="C75" t="s">
        <v>32</v>
      </c>
      <c r="D75" t="s">
        <v>33</v>
      </c>
      <c r="E75" t="s">
        <v>23</v>
      </c>
      <c r="F75" t="s">
        <v>92</v>
      </c>
      <c r="G75" t="s">
        <v>90</v>
      </c>
      <c r="H75" s="11">
        <v>0.375</v>
      </c>
      <c r="I75" s="11">
        <v>0.36388888888888887</v>
      </c>
      <c r="J75" s="11">
        <v>0.75</v>
      </c>
      <c r="K75" s="11">
        <v>0.76944444444444449</v>
      </c>
      <c r="L75" t="s">
        <v>9</v>
      </c>
      <c r="M75" s="5">
        <f>IF(OR(I75="",H75=""),"",MAX(0,ROUND((I75-H75-Parametros!$B$4)*1440,0)))</f>
        <v>0</v>
      </c>
      <c r="N75" t="str">
        <f t="shared" si="1"/>
        <v>Sin novedad</v>
      </c>
      <c r="O75" t="s">
        <v>123</v>
      </c>
    </row>
    <row r="76" spans="1:15" x14ac:dyDescent="0.3">
      <c r="A76" s="13">
        <v>46059</v>
      </c>
      <c r="B76" t="s">
        <v>131</v>
      </c>
      <c r="C76" t="s">
        <v>34</v>
      </c>
      <c r="D76" t="s">
        <v>35</v>
      </c>
      <c r="E76" t="s">
        <v>22</v>
      </c>
      <c r="F76" t="s">
        <v>94</v>
      </c>
      <c r="G76" t="s">
        <v>90</v>
      </c>
      <c r="H76" s="11">
        <v>0.375</v>
      </c>
      <c r="I76" s="11">
        <v>0.3972222222222222</v>
      </c>
      <c r="J76" s="11">
        <v>0.75</v>
      </c>
      <c r="K76" s="11">
        <v>0.75</v>
      </c>
      <c r="L76" t="s">
        <v>11</v>
      </c>
      <c r="M76" s="5">
        <f>IF(OR(I76="",H76=""),"",MAX(0,ROUND((I76-H76-Parametros!$B$4)*1440,0)))</f>
        <v>22</v>
      </c>
      <c r="N76" t="str">
        <f t="shared" si="1"/>
        <v>Tardanza</v>
      </c>
      <c r="O76" t="s">
        <v>122</v>
      </c>
    </row>
    <row r="77" spans="1:15" x14ac:dyDescent="0.3">
      <c r="A77" s="13">
        <v>46059</v>
      </c>
      <c r="B77" t="s">
        <v>131</v>
      </c>
      <c r="C77" t="s">
        <v>36</v>
      </c>
      <c r="D77" t="s">
        <v>37</v>
      </c>
      <c r="E77" t="s">
        <v>25</v>
      </c>
      <c r="F77" t="s">
        <v>95</v>
      </c>
      <c r="G77" t="s">
        <v>90</v>
      </c>
      <c r="H77" s="11">
        <v>0.375</v>
      </c>
      <c r="I77" s="11">
        <v>0.37222222222222218</v>
      </c>
      <c r="J77" s="11">
        <v>0.75</v>
      </c>
      <c r="K77" s="11">
        <v>0.76597222222222228</v>
      </c>
      <c r="L77" t="s">
        <v>9</v>
      </c>
      <c r="M77" s="5">
        <f>IF(OR(I77="",H77=""),"",MAX(0,ROUND((I77-H77-Parametros!$B$4)*1440,0)))</f>
        <v>0</v>
      </c>
      <c r="N77" t="str">
        <f t="shared" si="1"/>
        <v>Sin novedad</v>
      </c>
      <c r="O77" t="s">
        <v>125</v>
      </c>
    </row>
    <row r="78" spans="1:15" x14ac:dyDescent="0.3">
      <c r="A78" s="13">
        <v>46059</v>
      </c>
      <c r="B78" t="s">
        <v>131</v>
      </c>
      <c r="C78" t="s">
        <v>38</v>
      </c>
      <c r="D78" t="s">
        <v>39</v>
      </c>
      <c r="E78" t="s">
        <v>21</v>
      </c>
      <c r="F78" t="s">
        <v>97</v>
      </c>
      <c r="G78" t="s">
        <v>90</v>
      </c>
      <c r="H78" s="11">
        <v>0.375</v>
      </c>
      <c r="I78" s="11">
        <v>0.38541666666666669</v>
      </c>
      <c r="J78" s="11">
        <v>0.75</v>
      </c>
      <c r="K78" s="11">
        <v>0.75069444444444444</v>
      </c>
      <c r="L78" t="s">
        <v>11</v>
      </c>
      <c r="M78" s="5">
        <f>IF(OR(I78="",H78=""),"",MAX(0,ROUND((I78-H78-Parametros!$B$4)*1440,0)))</f>
        <v>5</v>
      </c>
      <c r="N78" t="str">
        <f t="shared" si="1"/>
        <v>Tardanza</v>
      </c>
      <c r="O78" t="s">
        <v>122</v>
      </c>
    </row>
    <row r="79" spans="1:15" x14ac:dyDescent="0.3">
      <c r="A79" s="13">
        <v>46059</v>
      </c>
      <c r="B79" t="s">
        <v>131</v>
      </c>
      <c r="C79" t="s">
        <v>40</v>
      </c>
      <c r="D79" t="s">
        <v>41</v>
      </c>
      <c r="E79" t="s">
        <v>23</v>
      </c>
      <c r="F79" t="s">
        <v>98</v>
      </c>
      <c r="G79" t="s">
        <v>99</v>
      </c>
      <c r="H79" s="11">
        <v>0.375</v>
      </c>
      <c r="I79" s="11"/>
      <c r="J79" s="11">
        <v>0.75</v>
      </c>
      <c r="K79" s="11"/>
      <c r="L79" t="s">
        <v>13</v>
      </c>
      <c r="M79" s="5" t="str">
        <f>IF(OR(I79="",H79=""),"",MAX(0,ROUND((I79-H79-Parametros!$B$4)*1440,0)))</f>
        <v/>
      </c>
      <c r="N79" t="str">
        <f t="shared" si="1"/>
        <v>Falta</v>
      </c>
      <c r="O79" t="s">
        <v>132</v>
      </c>
    </row>
    <row r="80" spans="1:15" x14ac:dyDescent="0.3">
      <c r="A80" s="13">
        <v>46059</v>
      </c>
      <c r="B80" t="s">
        <v>131</v>
      </c>
      <c r="C80" t="s">
        <v>42</v>
      </c>
      <c r="D80" t="s">
        <v>43</v>
      </c>
      <c r="E80" t="s">
        <v>24</v>
      </c>
      <c r="F80" t="s">
        <v>100</v>
      </c>
      <c r="G80" t="s">
        <v>90</v>
      </c>
      <c r="H80" s="11">
        <v>0.375</v>
      </c>
      <c r="I80" s="11">
        <v>0.36527777777777781</v>
      </c>
      <c r="J80" s="11">
        <v>0.75</v>
      </c>
      <c r="K80" s="11">
        <v>0.74305555555555558</v>
      </c>
      <c r="L80" t="s">
        <v>9</v>
      </c>
      <c r="M80" s="5">
        <f>IF(OR(I80="",H80=""),"",MAX(0,ROUND((I80-H80-Parametros!$B$4)*1440,0)))</f>
        <v>0</v>
      </c>
      <c r="N80" t="str">
        <f t="shared" si="1"/>
        <v>Sin novedad</v>
      </c>
      <c r="O80" t="s">
        <v>123</v>
      </c>
    </row>
    <row r="81" spans="1:15" x14ac:dyDescent="0.3">
      <c r="A81" s="13">
        <v>46059</v>
      </c>
      <c r="B81" t="s">
        <v>131</v>
      </c>
      <c r="C81" t="s">
        <v>44</v>
      </c>
      <c r="D81" t="s">
        <v>45</v>
      </c>
      <c r="E81" t="s">
        <v>25</v>
      </c>
      <c r="F81" t="s">
        <v>101</v>
      </c>
      <c r="G81" t="s">
        <v>90</v>
      </c>
      <c r="H81" s="11">
        <v>0.375</v>
      </c>
      <c r="I81" s="11">
        <v>0.38124999999999998</v>
      </c>
      <c r="J81" s="11">
        <v>0.75</v>
      </c>
      <c r="K81" s="11">
        <v>0.74305555555555558</v>
      </c>
      <c r="L81" t="s">
        <v>9</v>
      </c>
      <c r="M81" s="5">
        <f>IF(OR(I81="",H81=""),"",MAX(0,ROUND((I81-H81-Parametros!$B$4)*1440,0)))</f>
        <v>0</v>
      </c>
      <c r="N81" t="str">
        <f t="shared" si="1"/>
        <v>Sin novedad</v>
      </c>
      <c r="O81" t="s">
        <v>123</v>
      </c>
    </row>
    <row r="82" spans="1:15" x14ac:dyDescent="0.3">
      <c r="A82" s="13">
        <v>46059</v>
      </c>
      <c r="B82" t="s">
        <v>131</v>
      </c>
      <c r="C82" t="s">
        <v>46</v>
      </c>
      <c r="D82" t="s">
        <v>47</v>
      </c>
      <c r="E82" t="s">
        <v>22</v>
      </c>
      <c r="F82" t="s">
        <v>102</v>
      </c>
      <c r="G82" t="s">
        <v>90</v>
      </c>
      <c r="H82" s="11">
        <v>0.375</v>
      </c>
      <c r="I82" s="11">
        <v>0.36458333333333331</v>
      </c>
      <c r="J82" s="11">
        <v>0.75</v>
      </c>
      <c r="K82" s="11">
        <v>0.75694444444444442</v>
      </c>
      <c r="L82" t="s">
        <v>9</v>
      </c>
      <c r="M82" s="5">
        <f>IF(OR(I82="",H82=""),"",MAX(0,ROUND((I82-H82-Parametros!$B$4)*1440,0)))</f>
        <v>0</v>
      </c>
      <c r="N82" t="str">
        <f t="shared" si="1"/>
        <v>Sin novedad</v>
      </c>
      <c r="O82" t="s">
        <v>125</v>
      </c>
    </row>
    <row r="83" spans="1:15" x14ac:dyDescent="0.3">
      <c r="A83" s="13">
        <v>46059</v>
      </c>
      <c r="B83" t="s">
        <v>131</v>
      </c>
      <c r="C83" t="s">
        <v>48</v>
      </c>
      <c r="D83" t="s">
        <v>49</v>
      </c>
      <c r="E83" t="s">
        <v>21</v>
      </c>
      <c r="F83" t="s">
        <v>103</v>
      </c>
      <c r="G83" t="s">
        <v>104</v>
      </c>
      <c r="H83" s="11">
        <v>0.375</v>
      </c>
      <c r="I83" s="11">
        <v>0.37569444444444439</v>
      </c>
      <c r="J83" s="11">
        <v>0.75</v>
      </c>
      <c r="K83" s="11">
        <v>0.74791666666666667</v>
      </c>
      <c r="L83" t="s">
        <v>9</v>
      </c>
      <c r="M83" s="5">
        <f>IF(OR(I83="",H83=""),"",MAX(0,ROUND((I83-H83-Parametros!$B$4)*1440,0)))</f>
        <v>0</v>
      </c>
      <c r="N83" t="str">
        <f t="shared" si="1"/>
        <v>Sin novedad</v>
      </c>
      <c r="O83" t="s">
        <v>124</v>
      </c>
    </row>
    <row r="84" spans="1:15" x14ac:dyDescent="0.3">
      <c r="A84" s="13">
        <v>46059</v>
      </c>
      <c r="B84" t="s">
        <v>131</v>
      </c>
      <c r="C84" t="s">
        <v>50</v>
      </c>
      <c r="D84" t="s">
        <v>51</v>
      </c>
      <c r="E84" t="s">
        <v>23</v>
      </c>
      <c r="F84" t="s">
        <v>105</v>
      </c>
      <c r="G84" t="s">
        <v>99</v>
      </c>
      <c r="H84" s="11">
        <v>0.375</v>
      </c>
      <c r="I84" s="11">
        <v>0.37986111111111109</v>
      </c>
      <c r="J84" s="11">
        <v>0.75</v>
      </c>
      <c r="K84" s="11">
        <v>0.74930555555555556</v>
      </c>
      <c r="L84" t="s">
        <v>9</v>
      </c>
      <c r="M84" s="5">
        <f>IF(OR(I84="",H84=""),"",MAX(0,ROUND((I84-H84-Parametros!$B$4)*1440,0)))</f>
        <v>0</v>
      </c>
      <c r="N84" t="str">
        <f t="shared" si="1"/>
        <v>Sin novedad</v>
      </c>
      <c r="O84" t="s">
        <v>123</v>
      </c>
    </row>
    <row r="85" spans="1:15" x14ac:dyDescent="0.3">
      <c r="A85" s="13">
        <v>46059</v>
      </c>
      <c r="B85" t="s">
        <v>131</v>
      </c>
      <c r="C85" t="s">
        <v>52</v>
      </c>
      <c r="D85" t="s">
        <v>53</v>
      </c>
      <c r="E85" t="s">
        <v>25</v>
      </c>
      <c r="F85" t="s">
        <v>106</v>
      </c>
      <c r="G85" t="s">
        <v>90</v>
      </c>
      <c r="H85" s="11">
        <v>0.375</v>
      </c>
      <c r="I85" s="11"/>
      <c r="J85" s="11">
        <v>0.75</v>
      </c>
      <c r="K85" s="11"/>
      <c r="L85" t="s">
        <v>15</v>
      </c>
      <c r="M85" s="5" t="str">
        <f>IF(OR(I85="",H85=""),"",MAX(0,ROUND((I85-H85-Parametros!$B$4)*1440,0)))</f>
        <v/>
      </c>
      <c r="N85" t="str">
        <f t="shared" si="1"/>
        <v>Permiso</v>
      </c>
      <c r="O85" t="s">
        <v>133</v>
      </c>
    </row>
    <row r="86" spans="1:15" x14ac:dyDescent="0.3">
      <c r="A86" s="13">
        <v>46059</v>
      </c>
      <c r="B86" t="s">
        <v>131</v>
      </c>
      <c r="C86" t="s">
        <v>54</v>
      </c>
      <c r="D86" t="s">
        <v>55</v>
      </c>
      <c r="E86" t="s">
        <v>21</v>
      </c>
      <c r="F86" t="s">
        <v>107</v>
      </c>
      <c r="G86" t="s">
        <v>104</v>
      </c>
      <c r="H86" s="11">
        <v>0.375</v>
      </c>
      <c r="I86" s="11">
        <v>0.37152777777777779</v>
      </c>
      <c r="J86" s="11">
        <v>0.75</v>
      </c>
      <c r="K86" s="11">
        <v>0.75208333333333333</v>
      </c>
      <c r="L86" t="s">
        <v>9</v>
      </c>
      <c r="M86" s="5">
        <f>IF(OR(I86="",H86=""),"",MAX(0,ROUND((I86-H86-Parametros!$B$4)*1440,0)))</f>
        <v>0</v>
      </c>
      <c r="N86" t="str">
        <f t="shared" si="1"/>
        <v>Sin novedad</v>
      </c>
      <c r="O86" t="s">
        <v>123</v>
      </c>
    </row>
    <row r="87" spans="1:15" x14ac:dyDescent="0.3">
      <c r="A87" s="13">
        <v>46059</v>
      </c>
      <c r="B87" t="s">
        <v>131</v>
      </c>
      <c r="C87" t="s">
        <v>56</v>
      </c>
      <c r="D87" t="s">
        <v>57</v>
      </c>
      <c r="E87" t="s">
        <v>23</v>
      </c>
      <c r="F87" t="s">
        <v>108</v>
      </c>
      <c r="G87" t="s">
        <v>99</v>
      </c>
      <c r="H87" s="11">
        <v>0.375</v>
      </c>
      <c r="I87" s="11">
        <v>0.37083333333333329</v>
      </c>
      <c r="J87" s="11">
        <v>0.75</v>
      </c>
      <c r="K87" s="11">
        <v>0.74305555555555558</v>
      </c>
      <c r="L87" t="s">
        <v>9</v>
      </c>
      <c r="M87" s="5">
        <f>IF(OR(I87="",H87=""),"",MAX(0,ROUND((I87-H87-Parametros!$B$4)*1440,0)))</f>
        <v>0</v>
      </c>
      <c r="N87" t="str">
        <f t="shared" si="1"/>
        <v>Sin novedad</v>
      </c>
      <c r="O87" t="s">
        <v>123</v>
      </c>
    </row>
    <row r="88" spans="1:15" x14ac:dyDescent="0.3">
      <c r="A88" s="13">
        <v>46059</v>
      </c>
      <c r="B88" t="s">
        <v>131</v>
      </c>
      <c r="C88" t="s">
        <v>58</v>
      </c>
      <c r="D88" t="s">
        <v>59</v>
      </c>
      <c r="E88" t="s">
        <v>22</v>
      </c>
      <c r="F88" t="s">
        <v>109</v>
      </c>
      <c r="G88" t="s">
        <v>90</v>
      </c>
      <c r="H88" s="11">
        <v>0.375</v>
      </c>
      <c r="I88" s="11">
        <v>0.37222222222222218</v>
      </c>
      <c r="J88" s="11">
        <v>0.75</v>
      </c>
      <c r="K88" s="11">
        <v>0.75694444444444442</v>
      </c>
      <c r="L88" t="s">
        <v>9</v>
      </c>
      <c r="M88" s="5">
        <f>IF(OR(I88="",H88=""),"",MAX(0,ROUND((I88-H88-Parametros!$B$4)*1440,0)))</f>
        <v>0</v>
      </c>
      <c r="N88" t="str">
        <f t="shared" si="1"/>
        <v>Sin novedad</v>
      </c>
      <c r="O88" t="s">
        <v>123</v>
      </c>
    </row>
    <row r="89" spans="1:15" x14ac:dyDescent="0.3">
      <c r="A89" s="13">
        <v>46059</v>
      </c>
      <c r="B89" t="s">
        <v>131</v>
      </c>
      <c r="C89" t="s">
        <v>60</v>
      </c>
      <c r="D89" t="s">
        <v>61</v>
      </c>
      <c r="E89" t="s">
        <v>24</v>
      </c>
      <c r="F89" t="s">
        <v>110</v>
      </c>
      <c r="G89" t="s">
        <v>90</v>
      </c>
      <c r="H89" s="11">
        <v>0.375</v>
      </c>
      <c r="I89" s="11">
        <v>0.36736111111111108</v>
      </c>
      <c r="J89" s="11">
        <v>0.75</v>
      </c>
      <c r="K89" s="11">
        <v>0.74236111111111114</v>
      </c>
      <c r="L89" t="s">
        <v>9</v>
      </c>
      <c r="M89" s="5">
        <f>IF(OR(I89="",H89=""),"",MAX(0,ROUND((I89-H89-Parametros!$B$4)*1440,0)))</f>
        <v>0</v>
      </c>
      <c r="N89" t="str">
        <f t="shared" si="1"/>
        <v>Sin novedad</v>
      </c>
      <c r="O89" t="s">
        <v>125</v>
      </c>
    </row>
    <row r="90" spans="1:15" x14ac:dyDescent="0.3">
      <c r="A90" s="13">
        <v>46059</v>
      </c>
      <c r="B90" t="s">
        <v>131</v>
      </c>
      <c r="C90" t="s">
        <v>62</v>
      </c>
      <c r="D90" t="s">
        <v>63</v>
      </c>
      <c r="E90" t="s">
        <v>21</v>
      </c>
      <c r="F90" t="s">
        <v>111</v>
      </c>
      <c r="G90" t="s">
        <v>104</v>
      </c>
      <c r="H90" s="11">
        <v>0.375</v>
      </c>
      <c r="I90" s="11">
        <v>0.38124999999999998</v>
      </c>
      <c r="J90" s="11">
        <v>0.75</v>
      </c>
      <c r="K90" s="11">
        <v>0.74444444444444446</v>
      </c>
      <c r="L90" t="s">
        <v>9</v>
      </c>
      <c r="M90" s="5">
        <f>IF(OR(I90="",H90=""),"",MAX(0,ROUND((I90-H90-Parametros!$B$4)*1440,0)))</f>
        <v>0</v>
      </c>
      <c r="N90" t="str">
        <f t="shared" si="1"/>
        <v>Sin novedad</v>
      </c>
      <c r="O90" t="s">
        <v>123</v>
      </c>
    </row>
    <row r="91" spans="1:15" x14ac:dyDescent="0.3">
      <c r="A91" s="13">
        <v>46059</v>
      </c>
      <c r="B91" t="s">
        <v>131</v>
      </c>
      <c r="C91" t="s">
        <v>64</v>
      </c>
      <c r="D91" t="s">
        <v>65</v>
      </c>
      <c r="E91" t="s">
        <v>25</v>
      </c>
      <c r="F91" t="s">
        <v>112</v>
      </c>
      <c r="G91" t="s">
        <v>90</v>
      </c>
      <c r="H91" s="11">
        <v>0.375</v>
      </c>
      <c r="I91" s="11">
        <v>0.37708333333333333</v>
      </c>
      <c r="J91" s="11">
        <v>0.75</v>
      </c>
      <c r="K91" s="11">
        <v>0.76527777777777772</v>
      </c>
      <c r="L91" t="s">
        <v>9</v>
      </c>
      <c r="M91" s="5">
        <f>IF(OR(I91="",H91=""),"",MAX(0,ROUND((I91-H91-Parametros!$B$4)*1440,0)))</f>
        <v>0</v>
      </c>
      <c r="N91" t="str">
        <f t="shared" si="1"/>
        <v>Sin novedad</v>
      </c>
      <c r="O91" t="s">
        <v>123</v>
      </c>
    </row>
    <row r="92" spans="1:15" x14ac:dyDescent="0.3">
      <c r="A92" s="13">
        <v>46062</v>
      </c>
      <c r="B92" t="s">
        <v>120</v>
      </c>
      <c r="C92" t="s">
        <v>30</v>
      </c>
      <c r="D92" t="s">
        <v>31</v>
      </c>
      <c r="E92" t="s">
        <v>24</v>
      </c>
      <c r="F92" t="s">
        <v>89</v>
      </c>
      <c r="G92" t="s">
        <v>90</v>
      </c>
      <c r="H92" s="11">
        <v>0.375</v>
      </c>
      <c r="I92" s="11">
        <v>0.36805555555555558</v>
      </c>
      <c r="J92" s="11">
        <v>0.75</v>
      </c>
      <c r="K92" s="11">
        <v>0.74930555555555556</v>
      </c>
      <c r="L92" t="s">
        <v>9</v>
      </c>
      <c r="M92" s="5">
        <f>IF(OR(I92="",H92=""),"",MAX(0,ROUND((I92-H92-Parametros!$B$4)*1440,0)))</f>
        <v>0</v>
      </c>
      <c r="N92" t="str">
        <f t="shared" si="1"/>
        <v>Sin novedad</v>
      </c>
      <c r="O92" t="s">
        <v>125</v>
      </c>
    </row>
    <row r="93" spans="1:15" x14ac:dyDescent="0.3">
      <c r="A93" s="13">
        <v>46062</v>
      </c>
      <c r="B93" t="s">
        <v>120</v>
      </c>
      <c r="C93" t="s">
        <v>32</v>
      </c>
      <c r="D93" t="s">
        <v>33</v>
      </c>
      <c r="E93" t="s">
        <v>23</v>
      </c>
      <c r="F93" t="s">
        <v>92</v>
      </c>
      <c r="G93" t="s">
        <v>90</v>
      </c>
      <c r="H93" s="11">
        <v>0.375</v>
      </c>
      <c r="I93" s="11">
        <v>0.36458333333333331</v>
      </c>
      <c r="J93" s="11">
        <v>0.75</v>
      </c>
      <c r="K93" s="11">
        <v>0.7680555555555556</v>
      </c>
      <c r="L93" t="s">
        <v>9</v>
      </c>
      <c r="M93" s="5">
        <f>IF(OR(I93="",H93=""),"",MAX(0,ROUND((I93-H93-Parametros!$B$4)*1440,0)))</f>
        <v>0</v>
      </c>
      <c r="N93" t="str">
        <f t="shared" si="1"/>
        <v>Sin novedad</v>
      </c>
      <c r="O93" t="s">
        <v>123</v>
      </c>
    </row>
    <row r="94" spans="1:15" x14ac:dyDescent="0.3">
      <c r="A94" s="13">
        <v>46062</v>
      </c>
      <c r="B94" t="s">
        <v>120</v>
      </c>
      <c r="C94" t="s">
        <v>34</v>
      </c>
      <c r="D94" t="s">
        <v>35</v>
      </c>
      <c r="E94" t="s">
        <v>22</v>
      </c>
      <c r="F94" t="s">
        <v>94</v>
      </c>
      <c r="G94" t="s">
        <v>90</v>
      </c>
      <c r="H94" s="11">
        <v>0.375</v>
      </c>
      <c r="I94" s="11">
        <v>0.37152777777777779</v>
      </c>
      <c r="J94" s="11">
        <v>0.75</v>
      </c>
      <c r="K94" s="11">
        <v>0.7680555555555556</v>
      </c>
      <c r="L94" t="s">
        <v>9</v>
      </c>
      <c r="M94" s="5">
        <f>IF(OR(I94="",H94=""),"",MAX(0,ROUND((I94-H94-Parametros!$B$4)*1440,0)))</f>
        <v>0</v>
      </c>
      <c r="N94" t="str">
        <f t="shared" si="1"/>
        <v>Sin novedad</v>
      </c>
      <c r="O94" t="s">
        <v>125</v>
      </c>
    </row>
    <row r="95" spans="1:15" x14ac:dyDescent="0.3">
      <c r="A95" s="13">
        <v>46062</v>
      </c>
      <c r="B95" t="s">
        <v>120</v>
      </c>
      <c r="C95" t="s">
        <v>36</v>
      </c>
      <c r="D95" t="s">
        <v>37</v>
      </c>
      <c r="E95" t="s">
        <v>25</v>
      </c>
      <c r="F95" t="s">
        <v>95</v>
      </c>
      <c r="G95" t="s">
        <v>90</v>
      </c>
      <c r="H95" s="11">
        <v>0.375</v>
      </c>
      <c r="I95" s="11">
        <v>0.36666666666666659</v>
      </c>
      <c r="J95" s="11">
        <v>0.75</v>
      </c>
      <c r="K95" s="11">
        <v>0.75277777777777777</v>
      </c>
      <c r="L95" t="s">
        <v>9</v>
      </c>
      <c r="M95" s="5">
        <f>IF(OR(I95="",H95=""),"",MAX(0,ROUND((I95-H95-Parametros!$B$4)*1440,0)))</f>
        <v>0</v>
      </c>
      <c r="N95" t="str">
        <f t="shared" si="1"/>
        <v>Sin novedad</v>
      </c>
      <c r="O95" t="s">
        <v>124</v>
      </c>
    </row>
    <row r="96" spans="1:15" x14ac:dyDescent="0.3">
      <c r="A96" s="13">
        <v>46062</v>
      </c>
      <c r="B96" t="s">
        <v>120</v>
      </c>
      <c r="C96" t="s">
        <v>38</v>
      </c>
      <c r="D96" t="s">
        <v>39</v>
      </c>
      <c r="E96" t="s">
        <v>21</v>
      </c>
      <c r="F96" t="s">
        <v>97</v>
      </c>
      <c r="G96" t="s">
        <v>90</v>
      </c>
      <c r="H96" s="11">
        <v>0.375</v>
      </c>
      <c r="I96" s="11">
        <v>0.40625</v>
      </c>
      <c r="J96" s="11">
        <v>0.75</v>
      </c>
      <c r="K96" s="11">
        <v>0.77430555555555558</v>
      </c>
      <c r="L96" t="s">
        <v>11</v>
      </c>
      <c r="M96" s="5">
        <f>IF(OR(I96="",H96=""),"",MAX(0,ROUND((I96-H96-Parametros!$B$4)*1440,0)))</f>
        <v>35</v>
      </c>
      <c r="N96" t="str">
        <f t="shared" si="1"/>
        <v>Tardanza</v>
      </c>
      <c r="O96" t="s">
        <v>122</v>
      </c>
    </row>
    <row r="97" spans="1:15" x14ac:dyDescent="0.3">
      <c r="A97" s="13">
        <v>46062</v>
      </c>
      <c r="B97" t="s">
        <v>120</v>
      </c>
      <c r="C97" t="s">
        <v>40</v>
      </c>
      <c r="D97" t="s">
        <v>41</v>
      </c>
      <c r="E97" t="s">
        <v>23</v>
      </c>
      <c r="F97" t="s">
        <v>98</v>
      </c>
      <c r="G97" t="s">
        <v>99</v>
      </c>
      <c r="H97" s="11">
        <v>0.375</v>
      </c>
      <c r="I97" s="11">
        <v>0.36666666666666659</v>
      </c>
      <c r="J97" s="11">
        <v>0.75</v>
      </c>
      <c r="K97" s="11">
        <v>0.75763888888888886</v>
      </c>
      <c r="L97" t="s">
        <v>9</v>
      </c>
      <c r="M97" s="5">
        <f>IF(OR(I97="",H97=""),"",MAX(0,ROUND((I97-H97-Parametros!$B$4)*1440,0)))</f>
        <v>0</v>
      </c>
      <c r="N97" t="str">
        <f t="shared" si="1"/>
        <v>Sin novedad</v>
      </c>
      <c r="O97" t="s">
        <v>123</v>
      </c>
    </row>
    <row r="98" spans="1:15" x14ac:dyDescent="0.3">
      <c r="A98" s="13">
        <v>46062</v>
      </c>
      <c r="B98" t="s">
        <v>120</v>
      </c>
      <c r="C98" t="s">
        <v>42</v>
      </c>
      <c r="D98" t="s">
        <v>43</v>
      </c>
      <c r="E98" t="s">
        <v>24</v>
      </c>
      <c r="F98" t="s">
        <v>100</v>
      </c>
      <c r="G98" t="s">
        <v>90</v>
      </c>
      <c r="H98" s="11">
        <v>0.375</v>
      </c>
      <c r="I98" s="11">
        <v>0.36944444444444452</v>
      </c>
      <c r="J98" s="11">
        <v>0.75</v>
      </c>
      <c r="K98" s="11">
        <v>0.76875000000000004</v>
      </c>
      <c r="L98" t="s">
        <v>9</v>
      </c>
      <c r="M98" s="5">
        <f>IF(OR(I98="",H98=""),"",MAX(0,ROUND((I98-H98-Parametros!$B$4)*1440,0)))</f>
        <v>0</v>
      </c>
      <c r="N98" t="str">
        <f t="shared" si="1"/>
        <v>Sin novedad</v>
      </c>
      <c r="O98" t="s">
        <v>123</v>
      </c>
    </row>
    <row r="99" spans="1:15" x14ac:dyDescent="0.3">
      <c r="A99" s="13">
        <v>46062</v>
      </c>
      <c r="B99" t="s">
        <v>120</v>
      </c>
      <c r="C99" t="s">
        <v>44</v>
      </c>
      <c r="D99" t="s">
        <v>45</v>
      </c>
      <c r="E99" t="s">
        <v>25</v>
      </c>
      <c r="F99" t="s">
        <v>101</v>
      </c>
      <c r="G99" t="s">
        <v>90</v>
      </c>
      <c r="H99" s="11">
        <v>0.375</v>
      </c>
      <c r="I99" s="11">
        <v>0.39583333333333331</v>
      </c>
      <c r="J99" s="11">
        <v>0.75</v>
      </c>
      <c r="K99" s="11">
        <v>0.76666666666666672</v>
      </c>
      <c r="L99" t="s">
        <v>11</v>
      </c>
      <c r="M99" s="5">
        <f>IF(OR(I99="",H99=""),"",MAX(0,ROUND((I99-H99-Parametros!$B$4)*1440,0)))</f>
        <v>20</v>
      </c>
      <c r="N99" t="str">
        <f t="shared" si="1"/>
        <v>Tardanza</v>
      </c>
      <c r="O99" t="s">
        <v>129</v>
      </c>
    </row>
    <row r="100" spans="1:15" x14ac:dyDescent="0.3">
      <c r="A100" s="13">
        <v>46062</v>
      </c>
      <c r="B100" t="s">
        <v>120</v>
      </c>
      <c r="C100" t="s">
        <v>46</v>
      </c>
      <c r="D100" t="s">
        <v>47</v>
      </c>
      <c r="E100" t="s">
        <v>22</v>
      </c>
      <c r="F100" t="s">
        <v>102</v>
      </c>
      <c r="G100" t="s">
        <v>90</v>
      </c>
      <c r="H100" s="11">
        <v>0.375</v>
      </c>
      <c r="I100" s="11">
        <v>0.37777777777777782</v>
      </c>
      <c r="J100" s="11">
        <v>0.75</v>
      </c>
      <c r="K100" s="11">
        <v>0.75416666666666665</v>
      </c>
      <c r="L100" t="s">
        <v>9</v>
      </c>
      <c r="M100" s="5">
        <f>IF(OR(I100="",H100=""),"",MAX(0,ROUND((I100-H100-Parametros!$B$4)*1440,0)))</f>
        <v>0</v>
      </c>
      <c r="N100" t="str">
        <f t="shared" si="1"/>
        <v>Sin novedad</v>
      </c>
      <c r="O100" t="s">
        <v>125</v>
      </c>
    </row>
    <row r="101" spans="1:15" x14ac:dyDescent="0.3">
      <c r="A101" s="13">
        <v>46062</v>
      </c>
      <c r="B101" t="s">
        <v>120</v>
      </c>
      <c r="C101" t="s">
        <v>48</v>
      </c>
      <c r="D101" t="s">
        <v>49</v>
      </c>
      <c r="E101" t="s">
        <v>21</v>
      </c>
      <c r="F101" t="s">
        <v>103</v>
      </c>
      <c r="G101" t="s">
        <v>104</v>
      </c>
      <c r="H101" s="11">
        <v>0.375</v>
      </c>
      <c r="I101" s="11">
        <v>0.37083333333333329</v>
      </c>
      <c r="J101" s="11">
        <v>0.75</v>
      </c>
      <c r="K101" s="11">
        <v>0.74930555555555556</v>
      </c>
      <c r="L101" t="s">
        <v>9</v>
      </c>
      <c r="M101" s="5">
        <f>IF(OR(I101="",H101=""),"",MAX(0,ROUND((I101-H101-Parametros!$B$4)*1440,0)))</f>
        <v>0</v>
      </c>
      <c r="N101" t="str">
        <f t="shared" si="1"/>
        <v>Sin novedad</v>
      </c>
      <c r="O101" t="s">
        <v>125</v>
      </c>
    </row>
    <row r="102" spans="1:15" x14ac:dyDescent="0.3">
      <c r="A102" s="13">
        <v>46062</v>
      </c>
      <c r="B102" t="s">
        <v>120</v>
      </c>
      <c r="C102" t="s">
        <v>50</v>
      </c>
      <c r="D102" t="s">
        <v>51</v>
      </c>
      <c r="E102" t="s">
        <v>23</v>
      </c>
      <c r="F102" t="s">
        <v>105</v>
      </c>
      <c r="G102" t="s">
        <v>99</v>
      </c>
      <c r="H102" s="11">
        <v>0.375</v>
      </c>
      <c r="I102" s="11">
        <v>0.38055555555555548</v>
      </c>
      <c r="J102" s="11">
        <v>0.75</v>
      </c>
      <c r="K102" s="11">
        <v>0.7416666666666667</v>
      </c>
      <c r="L102" t="s">
        <v>9</v>
      </c>
      <c r="M102" s="5">
        <f>IF(OR(I102="",H102=""),"",MAX(0,ROUND((I102-H102-Parametros!$B$4)*1440,0)))</f>
        <v>0</v>
      </c>
      <c r="N102" t="str">
        <f t="shared" si="1"/>
        <v>Sin novedad</v>
      </c>
      <c r="O102" t="s">
        <v>123</v>
      </c>
    </row>
    <row r="103" spans="1:15" x14ac:dyDescent="0.3">
      <c r="A103" s="13">
        <v>46062</v>
      </c>
      <c r="B103" t="s">
        <v>120</v>
      </c>
      <c r="C103" t="s">
        <v>52</v>
      </c>
      <c r="D103" t="s">
        <v>53</v>
      </c>
      <c r="E103" t="s">
        <v>25</v>
      </c>
      <c r="F103" t="s">
        <v>106</v>
      </c>
      <c r="G103" t="s">
        <v>90</v>
      </c>
      <c r="H103" s="11">
        <v>0.375</v>
      </c>
      <c r="I103" s="11">
        <v>0.375</v>
      </c>
      <c r="J103" s="11">
        <v>0.75</v>
      </c>
      <c r="K103" s="11">
        <v>0.7680555555555556</v>
      </c>
      <c r="L103" t="s">
        <v>9</v>
      </c>
      <c r="M103" s="5">
        <f>IF(OR(I103="",H103=""),"",MAX(0,ROUND((I103-H103-Parametros!$B$4)*1440,0)))</f>
        <v>0</v>
      </c>
      <c r="N103" t="str">
        <f t="shared" si="1"/>
        <v>Sin novedad</v>
      </c>
      <c r="O103" t="s">
        <v>125</v>
      </c>
    </row>
    <row r="104" spans="1:15" x14ac:dyDescent="0.3">
      <c r="A104" s="13">
        <v>46062</v>
      </c>
      <c r="B104" t="s">
        <v>120</v>
      </c>
      <c r="C104" t="s">
        <v>54</v>
      </c>
      <c r="D104" t="s">
        <v>55</v>
      </c>
      <c r="E104" t="s">
        <v>21</v>
      </c>
      <c r="F104" t="s">
        <v>107</v>
      </c>
      <c r="G104" t="s">
        <v>104</v>
      </c>
      <c r="H104" s="11">
        <v>0.375</v>
      </c>
      <c r="I104" s="11">
        <v>0.37708333333333333</v>
      </c>
      <c r="J104" s="11">
        <v>0.75</v>
      </c>
      <c r="K104" s="11">
        <v>0.75069444444444444</v>
      </c>
      <c r="L104" t="s">
        <v>9</v>
      </c>
      <c r="M104" s="5">
        <f>IF(OR(I104="",H104=""),"",MAX(0,ROUND((I104-H104-Parametros!$B$4)*1440,0)))</f>
        <v>0</v>
      </c>
      <c r="N104" t="str">
        <f t="shared" si="1"/>
        <v>Sin novedad</v>
      </c>
      <c r="O104" t="s">
        <v>125</v>
      </c>
    </row>
    <row r="105" spans="1:15" x14ac:dyDescent="0.3">
      <c r="A105" s="13">
        <v>46062</v>
      </c>
      <c r="B105" t="s">
        <v>120</v>
      </c>
      <c r="C105" t="s">
        <v>56</v>
      </c>
      <c r="D105" t="s">
        <v>57</v>
      </c>
      <c r="E105" t="s">
        <v>23</v>
      </c>
      <c r="F105" t="s">
        <v>108</v>
      </c>
      <c r="G105" t="s">
        <v>99</v>
      </c>
      <c r="H105" s="11">
        <v>0.375</v>
      </c>
      <c r="I105" s="11">
        <v>0.37986111111111109</v>
      </c>
      <c r="J105" s="11">
        <v>0.75</v>
      </c>
      <c r="K105" s="11">
        <v>0.74861111111111112</v>
      </c>
      <c r="L105" t="s">
        <v>9</v>
      </c>
      <c r="M105" s="5">
        <f>IF(OR(I105="",H105=""),"",MAX(0,ROUND((I105-H105-Parametros!$B$4)*1440,0)))</f>
        <v>0</v>
      </c>
      <c r="N105" t="str">
        <f t="shared" si="1"/>
        <v>Sin novedad</v>
      </c>
      <c r="O105" t="s">
        <v>125</v>
      </c>
    </row>
    <row r="106" spans="1:15" x14ac:dyDescent="0.3">
      <c r="A106" s="13">
        <v>46062</v>
      </c>
      <c r="B106" t="s">
        <v>120</v>
      </c>
      <c r="C106" t="s">
        <v>58</v>
      </c>
      <c r="D106" t="s">
        <v>59</v>
      </c>
      <c r="E106" t="s">
        <v>22</v>
      </c>
      <c r="F106" t="s">
        <v>109</v>
      </c>
      <c r="G106" t="s">
        <v>90</v>
      </c>
      <c r="H106" s="11">
        <v>0.375</v>
      </c>
      <c r="I106" s="11"/>
      <c r="J106" s="11">
        <v>0.75</v>
      </c>
      <c r="K106" s="11"/>
      <c r="L106" t="s">
        <v>16</v>
      </c>
      <c r="M106" s="5" t="str">
        <f>IF(OR(I106="",H106=""),"",MAX(0,ROUND((I106-H106-Parametros!$B$4)*1440,0)))</f>
        <v/>
      </c>
      <c r="N106" t="str">
        <f t="shared" si="1"/>
        <v>Vacaciones</v>
      </c>
      <c r="O106" t="s">
        <v>134</v>
      </c>
    </row>
    <row r="107" spans="1:15" x14ac:dyDescent="0.3">
      <c r="A107" s="13">
        <v>46062</v>
      </c>
      <c r="B107" t="s">
        <v>120</v>
      </c>
      <c r="C107" t="s">
        <v>60</v>
      </c>
      <c r="D107" t="s">
        <v>61</v>
      </c>
      <c r="E107" t="s">
        <v>24</v>
      </c>
      <c r="F107" t="s">
        <v>110</v>
      </c>
      <c r="G107" t="s">
        <v>90</v>
      </c>
      <c r="H107" s="11">
        <v>0.375</v>
      </c>
      <c r="I107" s="11">
        <v>0.37638888888888888</v>
      </c>
      <c r="J107" s="11">
        <v>0.75</v>
      </c>
      <c r="K107" s="11">
        <v>0.76875000000000004</v>
      </c>
      <c r="L107" t="s">
        <v>9</v>
      </c>
      <c r="M107" s="5">
        <f>IF(OR(I107="",H107=""),"",MAX(0,ROUND((I107-H107-Parametros!$B$4)*1440,0)))</f>
        <v>0</v>
      </c>
      <c r="N107" t="str">
        <f t="shared" si="1"/>
        <v>Sin novedad</v>
      </c>
      <c r="O107" t="s">
        <v>123</v>
      </c>
    </row>
    <row r="108" spans="1:15" x14ac:dyDescent="0.3">
      <c r="A108" s="13">
        <v>46062</v>
      </c>
      <c r="B108" t="s">
        <v>120</v>
      </c>
      <c r="C108" t="s">
        <v>62</v>
      </c>
      <c r="D108" t="s">
        <v>63</v>
      </c>
      <c r="E108" t="s">
        <v>21</v>
      </c>
      <c r="F108" t="s">
        <v>111</v>
      </c>
      <c r="G108" t="s">
        <v>104</v>
      </c>
      <c r="H108" s="11">
        <v>0.375</v>
      </c>
      <c r="I108" s="11">
        <v>0.36736111111111108</v>
      </c>
      <c r="J108" s="11">
        <v>0.75</v>
      </c>
      <c r="K108" s="11">
        <v>0.75486111111111109</v>
      </c>
      <c r="L108" t="s">
        <v>9</v>
      </c>
      <c r="M108" s="5">
        <f>IF(OR(I108="",H108=""),"",MAX(0,ROUND((I108-H108-Parametros!$B$4)*1440,0)))</f>
        <v>0</v>
      </c>
      <c r="N108" t="str">
        <f t="shared" si="1"/>
        <v>Sin novedad</v>
      </c>
      <c r="O108" t="s">
        <v>124</v>
      </c>
    </row>
    <row r="109" spans="1:15" x14ac:dyDescent="0.3">
      <c r="A109" s="13">
        <v>46062</v>
      </c>
      <c r="B109" t="s">
        <v>120</v>
      </c>
      <c r="C109" t="s">
        <v>64</v>
      </c>
      <c r="D109" t="s">
        <v>65</v>
      </c>
      <c r="E109" t="s">
        <v>25</v>
      </c>
      <c r="F109" t="s">
        <v>112</v>
      </c>
      <c r="G109" t="s">
        <v>90</v>
      </c>
      <c r="H109" s="11">
        <v>0.375</v>
      </c>
      <c r="I109" s="11">
        <v>0.3840277777777778</v>
      </c>
      <c r="J109" s="11">
        <v>0.75</v>
      </c>
      <c r="K109" s="11">
        <v>0.75486111111111109</v>
      </c>
      <c r="L109" t="s">
        <v>11</v>
      </c>
      <c r="M109" s="5">
        <f>IF(OR(I109="",H109=""),"",MAX(0,ROUND((I109-H109-Parametros!$B$4)*1440,0)))</f>
        <v>3</v>
      </c>
      <c r="N109" t="str">
        <f t="shared" si="1"/>
        <v>Tardanza</v>
      </c>
      <c r="O109" t="s">
        <v>129</v>
      </c>
    </row>
    <row r="110" spans="1:15" x14ac:dyDescent="0.3">
      <c r="A110" s="13">
        <v>46063</v>
      </c>
      <c r="B110" t="s">
        <v>126</v>
      </c>
      <c r="C110" t="s">
        <v>30</v>
      </c>
      <c r="D110" t="s">
        <v>31</v>
      </c>
      <c r="E110" t="s">
        <v>24</v>
      </c>
      <c r="F110" t="s">
        <v>89</v>
      </c>
      <c r="G110" t="s">
        <v>90</v>
      </c>
      <c r="H110" s="11">
        <v>0.375</v>
      </c>
      <c r="I110" s="11">
        <v>0.37222222222222218</v>
      </c>
      <c r="J110" s="11">
        <v>0.75</v>
      </c>
      <c r="K110" s="11">
        <v>0.75972222222222219</v>
      </c>
      <c r="L110" t="s">
        <v>9</v>
      </c>
      <c r="M110" s="5">
        <f>IF(OR(I110="",H110=""),"",MAX(0,ROUND((I110-H110-Parametros!$B$4)*1440,0)))</f>
        <v>0</v>
      </c>
      <c r="N110" t="str">
        <f t="shared" si="1"/>
        <v>Sin novedad</v>
      </c>
      <c r="O110" t="s">
        <v>125</v>
      </c>
    </row>
    <row r="111" spans="1:15" x14ac:dyDescent="0.3">
      <c r="A111" s="13">
        <v>46063</v>
      </c>
      <c r="B111" t="s">
        <v>126</v>
      </c>
      <c r="C111" t="s">
        <v>32</v>
      </c>
      <c r="D111" t="s">
        <v>33</v>
      </c>
      <c r="E111" t="s">
        <v>23</v>
      </c>
      <c r="F111" t="s">
        <v>92</v>
      </c>
      <c r="G111" t="s">
        <v>90</v>
      </c>
      <c r="H111" s="11">
        <v>0.375</v>
      </c>
      <c r="I111" s="11">
        <v>0.37083333333333329</v>
      </c>
      <c r="J111" s="11">
        <v>0.75</v>
      </c>
      <c r="K111" s="11">
        <v>0.7631944444444444</v>
      </c>
      <c r="L111" t="s">
        <v>9</v>
      </c>
      <c r="M111" s="5">
        <f>IF(OR(I111="",H111=""),"",MAX(0,ROUND((I111-H111-Parametros!$B$4)*1440,0)))</f>
        <v>0</v>
      </c>
      <c r="N111" t="str">
        <f t="shared" si="1"/>
        <v>Sin novedad</v>
      </c>
      <c r="O111" t="s">
        <v>123</v>
      </c>
    </row>
    <row r="112" spans="1:15" x14ac:dyDescent="0.3">
      <c r="A112" s="13">
        <v>46063</v>
      </c>
      <c r="B112" t="s">
        <v>126</v>
      </c>
      <c r="C112" t="s">
        <v>34</v>
      </c>
      <c r="D112" t="s">
        <v>35</v>
      </c>
      <c r="E112" t="s">
        <v>22</v>
      </c>
      <c r="F112" t="s">
        <v>94</v>
      </c>
      <c r="G112" t="s">
        <v>90</v>
      </c>
      <c r="H112" s="11">
        <v>0.375</v>
      </c>
      <c r="I112" s="11">
        <v>0.36249999999999999</v>
      </c>
      <c r="J112" s="11">
        <v>0.75</v>
      </c>
      <c r="K112" s="11">
        <v>0.74583333333333335</v>
      </c>
      <c r="L112" t="s">
        <v>9</v>
      </c>
      <c r="M112" s="5">
        <f>IF(OR(I112="",H112=""),"",MAX(0,ROUND((I112-H112-Parametros!$B$4)*1440,0)))</f>
        <v>0</v>
      </c>
      <c r="N112" t="str">
        <f t="shared" si="1"/>
        <v>Sin novedad</v>
      </c>
      <c r="O112" t="s">
        <v>123</v>
      </c>
    </row>
    <row r="113" spans="1:15" x14ac:dyDescent="0.3">
      <c r="A113" s="13">
        <v>46063</v>
      </c>
      <c r="B113" t="s">
        <v>126</v>
      </c>
      <c r="C113" t="s">
        <v>36</v>
      </c>
      <c r="D113" t="s">
        <v>37</v>
      </c>
      <c r="E113" t="s">
        <v>25</v>
      </c>
      <c r="F113" t="s">
        <v>95</v>
      </c>
      <c r="G113" t="s">
        <v>90</v>
      </c>
      <c r="H113" s="11">
        <v>0.375</v>
      </c>
      <c r="I113" s="11">
        <v>0.37777777777777782</v>
      </c>
      <c r="J113" s="11">
        <v>0.75</v>
      </c>
      <c r="K113" s="11">
        <v>0.76458333333333328</v>
      </c>
      <c r="L113" t="s">
        <v>9</v>
      </c>
      <c r="M113" s="5">
        <f>IF(OR(I113="",H113=""),"",MAX(0,ROUND((I113-H113-Parametros!$B$4)*1440,0)))</f>
        <v>0</v>
      </c>
      <c r="N113" t="str">
        <f t="shared" si="1"/>
        <v>Sin novedad</v>
      </c>
      <c r="O113" t="s">
        <v>123</v>
      </c>
    </row>
    <row r="114" spans="1:15" x14ac:dyDescent="0.3">
      <c r="A114" s="13">
        <v>46063</v>
      </c>
      <c r="B114" t="s">
        <v>126</v>
      </c>
      <c r="C114" t="s">
        <v>38</v>
      </c>
      <c r="D114" t="s">
        <v>39</v>
      </c>
      <c r="E114" t="s">
        <v>21</v>
      </c>
      <c r="F114" t="s">
        <v>97</v>
      </c>
      <c r="G114" t="s">
        <v>90</v>
      </c>
      <c r="H114" s="11">
        <v>0.375</v>
      </c>
      <c r="I114" s="11">
        <v>0.38124999999999998</v>
      </c>
      <c r="J114" s="11">
        <v>0.75</v>
      </c>
      <c r="K114" s="11">
        <v>0.74652777777777779</v>
      </c>
      <c r="L114" t="s">
        <v>9</v>
      </c>
      <c r="M114" s="5">
        <f>IF(OR(I114="",H114=""),"",MAX(0,ROUND((I114-H114-Parametros!$B$4)*1440,0)))</f>
        <v>0</v>
      </c>
      <c r="N114" t="str">
        <f t="shared" si="1"/>
        <v>Sin novedad</v>
      </c>
      <c r="O114" t="s">
        <v>123</v>
      </c>
    </row>
    <row r="115" spans="1:15" x14ac:dyDescent="0.3">
      <c r="A115" s="13">
        <v>46063</v>
      </c>
      <c r="B115" t="s">
        <v>126</v>
      </c>
      <c r="C115" t="s">
        <v>40</v>
      </c>
      <c r="D115" t="s">
        <v>41</v>
      </c>
      <c r="E115" t="s">
        <v>23</v>
      </c>
      <c r="F115" t="s">
        <v>98</v>
      </c>
      <c r="G115" t="s">
        <v>99</v>
      </c>
      <c r="H115" s="11">
        <v>0.375</v>
      </c>
      <c r="I115" s="11">
        <v>0.37361111111111112</v>
      </c>
      <c r="J115" s="11">
        <v>0.75</v>
      </c>
      <c r="K115" s="11">
        <v>0.76597222222222228</v>
      </c>
      <c r="L115" t="s">
        <v>9</v>
      </c>
      <c r="M115" s="5">
        <f>IF(OR(I115="",H115=""),"",MAX(0,ROUND((I115-H115-Parametros!$B$4)*1440,0)))</f>
        <v>0</v>
      </c>
      <c r="N115" t="str">
        <f t="shared" si="1"/>
        <v>Sin novedad</v>
      </c>
      <c r="O115" t="s">
        <v>125</v>
      </c>
    </row>
    <row r="116" spans="1:15" x14ac:dyDescent="0.3">
      <c r="A116" s="13">
        <v>46063</v>
      </c>
      <c r="B116" t="s">
        <v>126</v>
      </c>
      <c r="C116" t="s">
        <v>42</v>
      </c>
      <c r="D116" t="s">
        <v>43</v>
      </c>
      <c r="E116" t="s">
        <v>24</v>
      </c>
      <c r="F116" t="s">
        <v>100</v>
      </c>
      <c r="G116" t="s">
        <v>90</v>
      </c>
      <c r="H116" s="11">
        <v>0.375</v>
      </c>
      <c r="I116" s="11">
        <v>0.37222222222222218</v>
      </c>
      <c r="J116" s="11">
        <v>0.75</v>
      </c>
      <c r="K116" s="11">
        <v>0.76875000000000004</v>
      </c>
      <c r="L116" t="s">
        <v>9</v>
      </c>
      <c r="M116" s="5">
        <f>IF(OR(I116="",H116=""),"",MAX(0,ROUND((I116-H116-Parametros!$B$4)*1440,0)))</f>
        <v>0</v>
      </c>
      <c r="N116" t="str">
        <f t="shared" si="1"/>
        <v>Sin novedad</v>
      </c>
      <c r="O116" t="s">
        <v>125</v>
      </c>
    </row>
    <row r="117" spans="1:15" x14ac:dyDescent="0.3">
      <c r="A117" s="13">
        <v>46063</v>
      </c>
      <c r="B117" t="s">
        <v>126</v>
      </c>
      <c r="C117" t="s">
        <v>44</v>
      </c>
      <c r="D117" t="s">
        <v>45</v>
      </c>
      <c r="E117" t="s">
        <v>25</v>
      </c>
      <c r="F117" t="s">
        <v>101</v>
      </c>
      <c r="G117" t="s">
        <v>90</v>
      </c>
      <c r="H117" s="11">
        <v>0.375</v>
      </c>
      <c r="I117" s="11">
        <v>0.37430555555555561</v>
      </c>
      <c r="J117" s="11">
        <v>0.75</v>
      </c>
      <c r="K117" s="11">
        <v>0.76111111111111107</v>
      </c>
      <c r="L117" t="s">
        <v>9</v>
      </c>
      <c r="M117" s="5">
        <f>IF(OR(I117="",H117=""),"",MAX(0,ROUND((I117-H117-Parametros!$B$4)*1440,0)))</f>
        <v>0</v>
      </c>
      <c r="N117" t="str">
        <f t="shared" si="1"/>
        <v>Sin novedad</v>
      </c>
      <c r="O117" t="s">
        <v>124</v>
      </c>
    </row>
    <row r="118" spans="1:15" x14ac:dyDescent="0.3">
      <c r="A118" s="13">
        <v>46063</v>
      </c>
      <c r="B118" t="s">
        <v>126</v>
      </c>
      <c r="C118" t="s">
        <v>46</v>
      </c>
      <c r="D118" t="s">
        <v>47</v>
      </c>
      <c r="E118" t="s">
        <v>22</v>
      </c>
      <c r="F118" t="s">
        <v>102</v>
      </c>
      <c r="G118" t="s">
        <v>90</v>
      </c>
      <c r="H118" s="11">
        <v>0.375</v>
      </c>
      <c r="I118" s="11">
        <v>0.36805555555555558</v>
      </c>
      <c r="J118" s="11">
        <v>0.75</v>
      </c>
      <c r="K118" s="11">
        <v>0.75208333333333333</v>
      </c>
      <c r="L118" t="s">
        <v>9</v>
      </c>
      <c r="M118" s="5">
        <f>IF(OR(I118="",H118=""),"",MAX(0,ROUND((I118-H118-Parametros!$B$4)*1440,0)))</f>
        <v>0</v>
      </c>
      <c r="N118" t="str">
        <f t="shared" si="1"/>
        <v>Sin novedad</v>
      </c>
      <c r="O118" t="s">
        <v>125</v>
      </c>
    </row>
    <row r="119" spans="1:15" x14ac:dyDescent="0.3">
      <c r="A119" s="13">
        <v>46063</v>
      </c>
      <c r="B119" t="s">
        <v>126</v>
      </c>
      <c r="C119" t="s">
        <v>48</v>
      </c>
      <c r="D119" t="s">
        <v>49</v>
      </c>
      <c r="E119" t="s">
        <v>21</v>
      </c>
      <c r="F119" t="s">
        <v>103</v>
      </c>
      <c r="G119" t="s">
        <v>104</v>
      </c>
      <c r="H119" s="11">
        <v>0.375</v>
      </c>
      <c r="I119" s="11">
        <v>0.37291666666666667</v>
      </c>
      <c r="J119" s="11">
        <v>0.75</v>
      </c>
      <c r="K119" s="11">
        <v>0.76944444444444449</v>
      </c>
      <c r="L119" t="s">
        <v>9</v>
      </c>
      <c r="M119" s="5">
        <f>IF(OR(I119="",H119=""),"",MAX(0,ROUND((I119-H119-Parametros!$B$4)*1440,0)))</f>
        <v>0</v>
      </c>
      <c r="N119" t="str">
        <f t="shared" si="1"/>
        <v>Sin novedad</v>
      </c>
      <c r="O119" t="s">
        <v>124</v>
      </c>
    </row>
    <row r="120" spans="1:15" x14ac:dyDescent="0.3">
      <c r="A120" s="13">
        <v>46063</v>
      </c>
      <c r="B120" t="s">
        <v>126</v>
      </c>
      <c r="C120" t="s">
        <v>50</v>
      </c>
      <c r="D120" t="s">
        <v>51</v>
      </c>
      <c r="E120" t="s">
        <v>23</v>
      </c>
      <c r="F120" t="s">
        <v>105</v>
      </c>
      <c r="G120" t="s">
        <v>99</v>
      </c>
      <c r="H120" s="11">
        <v>0.375</v>
      </c>
      <c r="I120" s="11">
        <v>0.39513888888888887</v>
      </c>
      <c r="J120" s="11">
        <v>0.75</v>
      </c>
      <c r="K120" s="11">
        <v>0.75486111111111109</v>
      </c>
      <c r="L120" t="s">
        <v>11</v>
      </c>
      <c r="M120" s="5">
        <f>IF(OR(I120="",H120=""),"",MAX(0,ROUND((I120-H120-Parametros!$B$4)*1440,0)))</f>
        <v>19</v>
      </c>
      <c r="N120" t="str">
        <f t="shared" si="1"/>
        <v>Tardanza</v>
      </c>
      <c r="O120" t="s">
        <v>129</v>
      </c>
    </row>
    <row r="121" spans="1:15" x14ac:dyDescent="0.3">
      <c r="A121" s="13">
        <v>46063</v>
      </c>
      <c r="B121" t="s">
        <v>126</v>
      </c>
      <c r="C121" t="s">
        <v>52</v>
      </c>
      <c r="D121" t="s">
        <v>53</v>
      </c>
      <c r="E121" t="s">
        <v>25</v>
      </c>
      <c r="F121" t="s">
        <v>106</v>
      </c>
      <c r="G121" t="s">
        <v>90</v>
      </c>
      <c r="H121" s="11">
        <v>0.375</v>
      </c>
      <c r="I121" s="11">
        <v>0.36388888888888887</v>
      </c>
      <c r="J121" s="11">
        <v>0.75</v>
      </c>
      <c r="K121" s="11">
        <v>0.74722222222222223</v>
      </c>
      <c r="L121" t="s">
        <v>9</v>
      </c>
      <c r="M121" s="5">
        <f>IF(OR(I121="",H121=""),"",MAX(0,ROUND((I121-H121-Parametros!$B$4)*1440,0)))</f>
        <v>0</v>
      </c>
      <c r="N121" t="str">
        <f t="shared" si="1"/>
        <v>Sin novedad</v>
      </c>
      <c r="O121" t="s">
        <v>124</v>
      </c>
    </row>
    <row r="122" spans="1:15" x14ac:dyDescent="0.3">
      <c r="A122" s="13">
        <v>46063</v>
      </c>
      <c r="B122" t="s">
        <v>126</v>
      </c>
      <c r="C122" t="s">
        <v>54</v>
      </c>
      <c r="D122" t="s">
        <v>55</v>
      </c>
      <c r="E122" t="s">
        <v>21</v>
      </c>
      <c r="F122" t="s">
        <v>107</v>
      </c>
      <c r="G122" t="s">
        <v>104</v>
      </c>
      <c r="H122" s="11">
        <v>0.375</v>
      </c>
      <c r="I122" s="11">
        <v>0.37777777777777782</v>
      </c>
      <c r="J122" s="11">
        <v>0.75</v>
      </c>
      <c r="K122" s="11">
        <v>0.75069444444444444</v>
      </c>
      <c r="L122" t="s">
        <v>9</v>
      </c>
      <c r="M122" s="5">
        <f>IF(OR(I122="",H122=""),"",MAX(0,ROUND((I122-H122-Parametros!$B$4)*1440,0)))</f>
        <v>0</v>
      </c>
      <c r="N122" t="str">
        <f t="shared" si="1"/>
        <v>Sin novedad</v>
      </c>
      <c r="O122" t="s">
        <v>124</v>
      </c>
    </row>
    <row r="123" spans="1:15" x14ac:dyDescent="0.3">
      <c r="A123" s="13">
        <v>46063</v>
      </c>
      <c r="B123" t="s">
        <v>126</v>
      </c>
      <c r="C123" t="s">
        <v>56</v>
      </c>
      <c r="D123" t="s">
        <v>57</v>
      </c>
      <c r="E123" t="s">
        <v>23</v>
      </c>
      <c r="F123" t="s">
        <v>108</v>
      </c>
      <c r="G123" t="s">
        <v>99</v>
      </c>
      <c r="H123" s="11">
        <v>0.375</v>
      </c>
      <c r="I123" s="11">
        <v>0.37222222222222218</v>
      </c>
      <c r="J123" s="11">
        <v>0.75</v>
      </c>
      <c r="K123" s="11">
        <v>0.75972222222222219</v>
      </c>
      <c r="L123" t="s">
        <v>9</v>
      </c>
      <c r="M123" s="5">
        <f>IF(OR(I123="",H123=""),"",MAX(0,ROUND((I123-H123-Parametros!$B$4)*1440,0)))</f>
        <v>0</v>
      </c>
      <c r="N123" t="str">
        <f t="shared" si="1"/>
        <v>Sin novedad</v>
      </c>
      <c r="O123" t="s">
        <v>124</v>
      </c>
    </row>
    <row r="124" spans="1:15" x14ac:dyDescent="0.3">
      <c r="A124" s="13">
        <v>46063</v>
      </c>
      <c r="B124" t="s">
        <v>126</v>
      </c>
      <c r="C124" t="s">
        <v>58</v>
      </c>
      <c r="D124" t="s">
        <v>59</v>
      </c>
      <c r="E124" t="s">
        <v>22</v>
      </c>
      <c r="F124" t="s">
        <v>109</v>
      </c>
      <c r="G124" t="s">
        <v>90</v>
      </c>
      <c r="H124" s="11">
        <v>0.375</v>
      </c>
      <c r="I124" s="11"/>
      <c r="J124" s="11">
        <v>0.75</v>
      </c>
      <c r="K124" s="11"/>
      <c r="L124" t="s">
        <v>16</v>
      </c>
      <c r="M124" s="5" t="str">
        <f>IF(OR(I124="",H124=""),"",MAX(0,ROUND((I124-H124-Parametros!$B$4)*1440,0)))</f>
        <v/>
      </c>
      <c r="N124" t="str">
        <f t="shared" si="1"/>
        <v>Vacaciones</v>
      </c>
      <c r="O124" t="s">
        <v>134</v>
      </c>
    </row>
    <row r="125" spans="1:15" x14ac:dyDescent="0.3">
      <c r="A125" s="13">
        <v>46063</v>
      </c>
      <c r="B125" t="s">
        <v>126</v>
      </c>
      <c r="C125" t="s">
        <v>60</v>
      </c>
      <c r="D125" t="s">
        <v>61</v>
      </c>
      <c r="E125" t="s">
        <v>24</v>
      </c>
      <c r="F125" t="s">
        <v>110</v>
      </c>
      <c r="G125" t="s">
        <v>90</v>
      </c>
      <c r="H125" s="11">
        <v>0.375</v>
      </c>
      <c r="I125" s="11">
        <v>0.38194444444444442</v>
      </c>
      <c r="J125" s="11">
        <v>0.75</v>
      </c>
      <c r="K125" s="11">
        <v>0.76736111111111116</v>
      </c>
      <c r="L125" t="s">
        <v>9</v>
      </c>
      <c r="M125" s="5">
        <f>IF(OR(I125="",H125=""),"",MAX(0,ROUND((I125-H125-Parametros!$B$4)*1440,0)))</f>
        <v>0</v>
      </c>
      <c r="N125" t="str">
        <f t="shared" si="1"/>
        <v>Sin novedad</v>
      </c>
      <c r="O125" t="s">
        <v>125</v>
      </c>
    </row>
    <row r="126" spans="1:15" x14ac:dyDescent="0.3">
      <c r="A126" s="13">
        <v>46063</v>
      </c>
      <c r="B126" t="s">
        <v>126</v>
      </c>
      <c r="C126" t="s">
        <v>62</v>
      </c>
      <c r="D126" t="s">
        <v>63</v>
      </c>
      <c r="E126" t="s">
        <v>21</v>
      </c>
      <c r="F126" t="s">
        <v>111</v>
      </c>
      <c r="G126" t="s">
        <v>104</v>
      </c>
      <c r="H126" s="11">
        <v>0.375</v>
      </c>
      <c r="I126" s="11"/>
      <c r="J126" s="11">
        <v>0.75</v>
      </c>
      <c r="K126" s="11"/>
      <c r="L126" t="s">
        <v>15</v>
      </c>
      <c r="M126" s="5" t="str">
        <f>IF(OR(I126="",H126=""),"",MAX(0,ROUND((I126-H126-Parametros!$B$4)*1440,0)))</f>
        <v/>
      </c>
      <c r="N126" t="str">
        <f t="shared" si="1"/>
        <v>Permiso</v>
      </c>
      <c r="O126" t="s">
        <v>133</v>
      </c>
    </row>
    <row r="127" spans="1:15" x14ac:dyDescent="0.3">
      <c r="A127" s="13">
        <v>46063</v>
      </c>
      <c r="B127" t="s">
        <v>126</v>
      </c>
      <c r="C127" t="s">
        <v>64</v>
      </c>
      <c r="D127" t="s">
        <v>65</v>
      </c>
      <c r="E127" t="s">
        <v>25</v>
      </c>
      <c r="F127" t="s">
        <v>112</v>
      </c>
      <c r="G127" t="s">
        <v>90</v>
      </c>
      <c r="H127" s="11">
        <v>0.375</v>
      </c>
      <c r="I127" s="11">
        <v>0.39791666666666659</v>
      </c>
      <c r="J127" s="11">
        <v>0.75</v>
      </c>
      <c r="K127" s="11">
        <v>0.75763888888888886</v>
      </c>
      <c r="L127" t="s">
        <v>11</v>
      </c>
      <c r="M127" s="5">
        <f>IF(OR(I127="",H127=""),"",MAX(0,ROUND((I127-H127-Parametros!$B$4)*1440,0)))</f>
        <v>23</v>
      </c>
      <c r="N127" t="str">
        <f t="shared" si="1"/>
        <v>Tardanza</v>
      </c>
      <c r="O127" t="s">
        <v>129</v>
      </c>
    </row>
    <row r="128" spans="1:15" x14ac:dyDescent="0.3">
      <c r="A128" s="13">
        <v>46064</v>
      </c>
      <c r="B128" t="s">
        <v>127</v>
      </c>
      <c r="C128" t="s">
        <v>30</v>
      </c>
      <c r="D128" t="s">
        <v>31</v>
      </c>
      <c r="E128" t="s">
        <v>24</v>
      </c>
      <c r="F128" t="s">
        <v>89</v>
      </c>
      <c r="G128" t="s">
        <v>90</v>
      </c>
      <c r="H128" s="11">
        <v>0.375</v>
      </c>
      <c r="I128" s="11">
        <v>0.37152777777777779</v>
      </c>
      <c r="J128" s="11">
        <v>0.75</v>
      </c>
      <c r="K128" s="11">
        <v>0.76527777777777772</v>
      </c>
      <c r="L128" t="s">
        <v>9</v>
      </c>
      <c r="M128" s="5">
        <f>IF(OR(I128="",H128=""),"",MAX(0,ROUND((I128-H128-Parametros!$B$4)*1440,0)))</f>
        <v>0</v>
      </c>
      <c r="N128" t="str">
        <f t="shared" si="1"/>
        <v>Sin novedad</v>
      </c>
      <c r="O128" t="s">
        <v>125</v>
      </c>
    </row>
    <row r="129" spans="1:15" x14ac:dyDescent="0.3">
      <c r="A129" s="13">
        <v>46064</v>
      </c>
      <c r="B129" t="s">
        <v>127</v>
      </c>
      <c r="C129" t="s">
        <v>32</v>
      </c>
      <c r="D129" t="s">
        <v>33</v>
      </c>
      <c r="E129" t="s">
        <v>23</v>
      </c>
      <c r="F129" t="s">
        <v>92</v>
      </c>
      <c r="G129" t="s">
        <v>90</v>
      </c>
      <c r="H129" s="11">
        <v>0.375</v>
      </c>
      <c r="I129" s="11">
        <v>0.38194444444444442</v>
      </c>
      <c r="J129" s="11">
        <v>0.75</v>
      </c>
      <c r="K129" s="11">
        <v>0.75138888888888888</v>
      </c>
      <c r="L129" t="s">
        <v>9</v>
      </c>
      <c r="M129" s="5">
        <f>IF(OR(I129="",H129=""),"",MAX(0,ROUND((I129-H129-Parametros!$B$4)*1440,0)))</f>
        <v>0</v>
      </c>
      <c r="N129" t="str">
        <f t="shared" si="1"/>
        <v>Sin novedad</v>
      </c>
      <c r="O129" t="s">
        <v>123</v>
      </c>
    </row>
    <row r="130" spans="1:15" x14ac:dyDescent="0.3">
      <c r="A130" s="13">
        <v>46064</v>
      </c>
      <c r="B130" t="s">
        <v>127</v>
      </c>
      <c r="C130" t="s">
        <v>34</v>
      </c>
      <c r="D130" t="s">
        <v>35</v>
      </c>
      <c r="E130" t="s">
        <v>22</v>
      </c>
      <c r="F130" t="s">
        <v>94</v>
      </c>
      <c r="G130" t="s">
        <v>90</v>
      </c>
      <c r="H130" s="11">
        <v>0.375</v>
      </c>
      <c r="I130" s="11">
        <v>0.36249999999999999</v>
      </c>
      <c r="J130" s="11">
        <v>0.75</v>
      </c>
      <c r="K130" s="11">
        <v>0.7583333333333333</v>
      </c>
      <c r="L130" t="s">
        <v>9</v>
      </c>
      <c r="M130" s="5">
        <f>IF(OR(I130="",H130=""),"",MAX(0,ROUND((I130-H130-Parametros!$B$4)*1440,0)))</f>
        <v>0</v>
      </c>
      <c r="N130" t="str">
        <f t="shared" ref="N130:N193" si="2">IF(L130="Asistencia","Sin novedad",L130)</f>
        <v>Sin novedad</v>
      </c>
      <c r="O130" t="s">
        <v>123</v>
      </c>
    </row>
    <row r="131" spans="1:15" x14ac:dyDescent="0.3">
      <c r="A131" s="13">
        <v>46064</v>
      </c>
      <c r="B131" t="s">
        <v>127</v>
      </c>
      <c r="C131" t="s">
        <v>36</v>
      </c>
      <c r="D131" t="s">
        <v>37</v>
      </c>
      <c r="E131" t="s">
        <v>25</v>
      </c>
      <c r="F131" t="s">
        <v>95</v>
      </c>
      <c r="G131" t="s">
        <v>90</v>
      </c>
      <c r="H131" s="11">
        <v>0.375</v>
      </c>
      <c r="I131" s="11">
        <v>0.37847222222222221</v>
      </c>
      <c r="J131" s="11">
        <v>0.75</v>
      </c>
      <c r="K131" s="11">
        <v>0.74861111111111112</v>
      </c>
      <c r="L131" t="s">
        <v>9</v>
      </c>
      <c r="M131" s="5">
        <f>IF(OR(I131="",H131=""),"",MAX(0,ROUND((I131-H131-Parametros!$B$4)*1440,0)))</f>
        <v>0</v>
      </c>
      <c r="N131" t="str">
        <f t="shared" si="2"/>
        <v>Sin novedad</v>
      </c>
      <c r="O131" t="s">
        <v>123</v>
      </c>
    </row>
    <row r="132" spans="1:15" x14ac:dyDescent="0.3">
      <c r="A132" s="13">
        <v>46064</v>
      </c>
      <c r="B132" t="s">
        <v>127</v>
      </c>
      <c r="C132" t="s">
        <v>38</v>
      </c>
      <c r="D132" t="s">
        <v>39</v>
      </c>
      <c r="E132" t="s">
        <v>21</v>
      </c>
      <c r="F132" t="s">
        <v>97</v>
      </c>
      <c r="G132" t="s">
        <v>90</v>
      </c>
      <c r="H132" s="11">
        <v>0.375</v>
      </c>
      <c r="I132" s="11">
        <v>0.37430555555555561</v>
      </c>
      <c r="J132" s="11">
        <v>0.75</v>
      </c>
      <c r="K132" s="11">
        <v>0.74236111111111114</v>
      </c>
      <c r="L132" t="s">
        <v>9</v>
      </c>
      <c r="M132" s="5">
        <f>IF(OR(I132="",H132=""),"",MAX(0,ROUND((I132-H132-Parametros!$B$4)*1440,0)))</f>
        <v>0</v>
      </c>
      <c r="N132" t="str">
        <f t="shared" si="2"/>
        <v>Sin novedad</v>
      </c>
      <c r="O132" t="s">
        <v>123</v>
      </c>
    </row>
    <row r="133" spans="1:15" x14ac:dyDescent="0.3">
      <c r="A133" s="13">
        <v>46064</v>
      </c>
      <c r="B133" t="s">
        <v>127</v>
      </c>
      <c r="C133" t="s">
        <v>40</v>
      </c>
      <c r="D133" t="s">
        <v>41</v>
      </c>
      <c r="E133" t="s">
        <v>23</v>
      </c>
      <c r="F133" t="s">
        <v>98</v>
      </c>
      <c r="G133" t="s">
        <v>99</v>
      </c>
      <c r="H133" s="11">
        <v>0.375</v>
      </c>
      <c r="I133" s="11">
        <v>0.36388888888888887</v>
      </c>
      <c r="J133" s="11">
        <v>0.75</v>
      </c>
      <c r="K133" s="11">
        <v>0.76041666666666663</v>
      </c>
      <c r="L133" t="s">
        <v>9</v>
      </c>
      <c r="M133" s="5">
        <f>IF(OR(I133="",H133=""),"",MAX(0,ROUND((I133-H133-Parametros!$B$4)*1440,0)))</f>
        <v>0</v>
      </c>
      <c r="N133" t="str">
        <f t="shared" si="2"/>
        <v>Sin novedad</v>
      </c>
      <c r="O133" t="s">
        <v>124</v>
      </c>
    </row>
    <row r="134" spans="1:15" x14ac:dyDescent="0.3">
      <c r="A134" s="13">
        <v>46064</v>
      </c>
      <c r="B134" t="s">
        <v>127</v>
      </c>
      <c r="C134" t="s">
        <v>42</v>
      </c>
      <c r="D134" t="s">
        <v>43</v>
      </c>
      <c r="E134" t="s">
        <v>24</v>
      </c>
      <c r="F134" t="s">
        <v>100</v>
      </c>
      <c r="G134" t="s">
        <v>90</v>
      </c>
      <c r="H134" s="11">
        <v>0.375</v>
      </c>
      <c r="I134" s="11">
        <v>0.36805555555555558</v>
      </c>
      <c r="J134" s="11">
        <v>0.75</v>
      </c>
      <c r="K134" s="11">
        <v>0.7583333333333333</v>
      </c>
      <c r="L134" t="s">
        <v>9</v>
      </c>
      <c r="M134" s="5">
        <f>IF(OR(I134="",H134=""),"",MAX(0,ROUND((I134-H134-Parametros!$B$4)*1440,0)))</f>
        <v>0</v>
      </c>
      <c r="N134" t="str">
        <f t="shared" si="2"/>
        <v>Sin novedad</v>
      </c>
      <c r="O134" t="s">
        <v>123</v>
      </c>
    </row>
    <row r="135" spans="1:15" x14ac:dyDescent="0.3">
      <c r="A135" s="13">
        <v>46064</v>
      </c>
      <c r="B135" t="s">
        <v>127</v>
      </c>
      <c r="C135" t="s">
        <v>44</v>
      </c>
      <c r="D135" t="s">
        <v>45</v>
      </c>
      <c r="E135" t="s">
        <v>25</v>
      </c>
      <c r="F135" t="s">
        <v>101</v>
      </c>
      <c r="G135" t="s">
        <v>90</v>
      </c>
      <c r="H135" s="11">
        <v>0.375</v>
      </c>
      <c r="I135" s="11">
        <v>0.37916666666666671</v>
      </c>
      <c r="J135" s="11">
        <v>0.75</v>
      </c>
      <c r="K135" s="11">
        <v>0.7583333333333333</v>
      </c>
      <c r="L135" t="s">
        <v>9</v>
      </c>
      <c r="M135" s="5">
        <f>IF(OR(I135="",H135=""),"",MAX(0,ROUND((I135-H135-Parametros!$B$4)*1440,0)))</f>
        <v>0</v>
      </c>
      <c r="N135" t="str">
        <f t="shared" si="2"/>
        <v>Sin novedad</v>
      </c>
      <c r="O135" t="s">
        <v>123</v>
      </c>
    </row>
    <row r="136" spans="1:15" x14ac:dyDescent="0.3">
      <c r="A136" s="13">
        <v>46064</v>
      </c>
      <c r="B136" t="s">
        <v>127</v>
      </c>
      <c r="C136" t="s">
        <v>46</v>
      </c>
      <c r="D136" t="s">
        <v>47</v>
      </c>
      <c r="E136" t="s">
        <v>22</v>
      </c>
      <c r="F136" t="s">
        <v>102</v>
      </c>
      <c r="G136" t="s">
        <v>90</v>
      </c>
      <c r="H136" s="11">
        <v>0.375</v>
      </c>
      <c r="I136" s="11">
        <v>0.36805555555555558</v>
      </c>
      <c r="J136" s="11">
        <v>0.75</v>
      </c>
      <c r="K136" s="11">
        <v>0.74513888888888891</v>
      </c>
      <c r="L136" t="s">
        <v>9</v>
      </c>
      <c r="M136" s="5">
        <f>IF(OR(I136="",H136=""),"",MAX(0,ROUND((I136-H136-Parametros!$B$4)*1440,0)))</f>
        <v>0</v>
      </c>
      <c r="N136" t="str">
        <f t="shared" si="2"/>
        <v>Sin novedad</v>
      </c>
      <c r="O136" t="s">
        <v>123</v>
      </c>
    </row>
    <row r="137" spans="1:15" x14ac:dyDescent="0.3">
      <c r="A137" s="13">
        <v>46064</v>
      </c>
      <c r="B137" t="s">
        <v>127</v>
      </c>
      <c r="C137" t="s">
        <v>48</v>
      </c>
      <c r="D137" t="s">
        <v>49</v>
      </c>
      <c r="E137" t="s">
        <v>21</v>
      </c>
      <c r="F137" t="s">
        <v>103</v>
      </c>
      <c r="G137" t="s">
        <v>104</v>
      </c>
      <c r="H137" s="11">
        <v>0.375</v>
      </c>
      <c r="I137" s="11"/>
      <c r="J137" s="11">
        <v>0.75</v>
      </c>
      <c r="K137" s="11"/>
      <c r="L137" t="s">
        <v>13</v>
      </c>
      <c r="M137" s="5" t="str">
        <f>IF(OR(I137="",H137=""),"",MAX(0,ROUND((I137-H137-Parametros!$B$4)*1440,0)))</f>
        <v/>
      </c>
      <c r="N137" t="str">
        <f t="shared" si="2"/>
        <v>Falta</v>
      </c>
      <c r="O137" t="s">
        <v>128</v>
      </c>
    </row>
    <row r="138" spans="1:15" x14ac:dyDescent="0.3">
      <c r="A138" s="13">
        <v>46064</v>
      </c>
      <c r="B138" t="s">
        <v>127</v>
      </c>
      <c r="C138" t="s">
        <v>50</v>
      </c>
      <c r="D138" t="s">
        <v>51</v>
      </c>
      <c r="E138" t="s">
        <v>23</v>
      </c>
      <c r="F138" t="s">
        <v>105</v>
      </c>
      <c r="G138" t="s">
        <v>99</v>
      </c>
      <c r="H138" s="11">
        <v>0.375</v>
      </c>
      <c r="I138" s="11">
        <v>0.37638888888888888</v>
      </c>
      <c r="J138" s="11">
        <v>0.75</v>
      </c>
      <c r="K138" s="11">
        <v>0.74444444444444446</v>
      </c>
      <c r="L138" t="s">
        <v>9</v>
      </c>
      <c r="M138" s="5">
        <f>IF(OR(I138="",H138=""),"",MAX(0,ROUND((I138-H138-Parametros!$B$4)*1440,0)))</f>
        <v>0</v>
      </c>
      <c r="N138" t="str">
        <f t="shared" si="2"/>
        <v>Sin novedad</v>
      </c>
      <c r="O138" t="s">
        <v>125</v>
      </c>
    </row>
    <row r="139" spans="1:15" x14ac:dyDescent="0.3">
      <c r="A139" s="13">
        <v>46064</v>
      </c>
      <c r="B139" t="s">
        <v>127</v>
      </c>
      <c r="C139" t="s">
        <v>52</v>
      </c>
      <c r="D139" t="s">
        <v>53</v>
      </c>
      <c r="E139" t="s">
        <v>25</v>
      </c>
      <c r="F139" t="s">
        <v>106</v>
      </c>
      <c r="G139" t="s">
        <v>90</v>
      </c>
      <c r="H139" s="11">
        <v>0.375</v>
      </c>
      <c r="I139" s="11">
        <v>0.39305555555555549</v>
      </c>
      <c r="J139" s="11">
        <v>0.75</v>
      </c>
      <c r="K139" s="11">
        <v>0.75277777777777777</v>
      </c>
      <c r="L139" t="s">
        <v>11</v>
      </c>
      <c r="M139" s="5">
        <f>IF(OR(I139="",H139=""),"",MAX(0,ROUND((I139-H139-Parametros!$B$4)*1440,0)))</f>
        <v>16</v>
      </c>
      <c r="N139" t="str">
        <f t="shared" si="2"/>
        <v>Tardanza</v>
      </c>
      <c r="O139" t="s">
        <v>121</v>
      </c>
    </row>
    <row r="140" spans="1:15" x14ac:dyDescent="0.3">
      <c r="A140" s="13">
        <v>46064</v>
      </c>
      <c r="B140" t="s">
        <v>127</v>
      </c>
      <c r="C140" t="s">
        <v>54</v>
      </c>
      <c r="D140" t="s">
        <v>55</v>
      </c>
      <c r="E140" t="s">
        <v>21</v>
      </c>
      <c r="F140" t="s">
        <v>107</v>
      </c>
      <c r="G140" t="s">
        <v>104</v>
      </c>
      <c r="H140" s="11">
        <v>0.375</v>
      </c>
      <c r="I140" s="11">
        <v>0.37291666666666667</v>
      </c>
      <c r="J140" s="11">
        <v>0.75</v>
      </c>
      <c r="K140" s="11">
        <v>0.74652777777777779</v>
      </c>
      <c r="L140" t="s">
        <v>9</v>
      </c>
      <c r="M140" s="5">
        <f>IF(OR(I140="",H140=""),"",MAX(0,ROUND((I140-H140-Parametros!$B$4)*1440,0)))</f>
        <v>0</v>
      </c>
      <c r="N140" t="str">
        <f t="shared" si="2"/>
        <v>Sin novedad</v>
      </c>
      <c r="O140" t="s">
        <v>125</v>
      </c>
    </row>
    <row r="141" spans="1:15" x14ac:dyDescent="0.3">
      <c r="A141" s="13">
        <v>46064</v>
      </c>
      <c r="B141" t="s">
        <v>127</v>
      </c>
      <c r="C141" t="s">
        <v>56</v>
      </c>
      <c r="D141" t="s">
        <v>57</v>
      </c>
      <c r="E141" t="s">
        <v>23</v>
      </c>
      <c r="F141" t="s">
        <v>108</v>
      </c>
      <c r="G141" t="s">
        <v>99</v>
      </c>
      <c r="H141" s="11">
        <v>0.375</v>
      </c>
      <c r="I141" s="11">
        <v>0.36805555555555558</v>
      </c>
      <c r="J141" s="11">
        <v>0.75</v>
      </c>
      <c r="K141" s="11">
        <v>0.75763888888888886</v>
      </c>
      <c r="L141" t="s">
        <v>9</v>
      </c>
      <c r="M141" s="5">
        <f>IF(OR(I141="",H141=""),"",MAX(0,ROUND((I141-H141-Parametros!$B$4)*1440,0)))</f>
        <v>0</v>
      </c>
      <c r="N141" t="str">
        <f t="shared" si="2"/>
        <v>Sin novedad</v>
      </c>
      <c r="O141" t="s">
        <v>124</v>
      </c>
    </row>
    <row r="142" spans="1:15" x14ac:dyDescent="0.3">
      <c r="A142" s="13">
        <v>46064</v>
      </c>
      <c r="B142" t="s">
        <v>127</v>
      </c>
      <c r="C142" t="s">
        <v>58</v>
      </c>
      <c r="D142" t="s">
        <v>59</v>
      </c>
      <c r="E142" t="s">
        <v>22</v>
      </c>
      <c r="F142" t="s">
        <v>109</v>
      </c>
      <c r="G142" t="s">
        <v>90</v>
      </c>
      <c r="H142" s="11">
        <v>0.375</v>
      </c>
      <c r="I142" s="11"/>
      <c r="J142" s="11">
        <v>0.75</v>
      </c>
      <c r="K142" s="11"/>
      <c r="L142" t="s">
        <v>16</v>
      </c>
      <c r="M142" s="5" t="str">
        <f>IF(OR(I142="",H142=""),"",MAX(0,ROUND((I142-H142-Parametros!$B$4)*1440,0)))</f>
        <v/>
      </c>
      <c r="N142" t="str">
        <f t="shared" si="2"/>
        <v>Vacaciones</v>
      </c>
      <c r="O142" t="s">
        <v>134</v>
      </c>
    </row>
    <row r="143" spans="1:15" x14ac:dyDescent="0.3">
      <c r="A143" s="13">
        <v>46064</v>
      </c>
      <c r="B143" t="s">
        <v>127</v>
      </c>
      <c r="C143" t="s">
        <v>60</v>
      </c>
      <c r="D143" t="s">
        <v>61</v>
      </c>
      <c r="E143" t="s">
        <v>24</v>
      </c>
      <c r="F143" t="s">
        <v>110</v>
      </c>
      <c r="G143" t="s">
        <v>90</v>
      </c>
      <c r="H143" s="11">
        <v>0.375</v>
      </c>
      <c r="I143" s="11">
        <v>0.37777777777777782</v>
      </c>
      <c r="J143" s="11">
        <v>0.75</v>
      </c>
      <c r="K143" s="11">
        <v>0.74652777777777779</v>
      </c>
      <c r="L143" t="s">
        <v>9</v>
      </c>
      <c r="M143" s="5">
        <f>IF(OR(I143="",H143=""),"",MAX(0,ROUND((I143-H143-Parametros!$B$4)*1440,0)))</f>
        <v>0</v>
      </c>
      <c r="N143" t="str">
        <f t="shared" si="2"/>
        <v>Sin novedad</v>
      </c>
      <c r="O143" t="s">
        <v>124</v>
      </c>
    </row>
    <row r="144" spans="1:15" x14ac:dyDescent="0.3">
      <c r="A144" s="13">
        <v>46064</v>
      </c>
      <c r="B144" t="s">
        <v>127</v>
      </c>
      <c r="C144" t="s">
        <v>62</v>
      </c>
      <c r="D144" t="s">
        <v>63</v>
      </c>
      <c r="E144" t="s">
        <v>21</v>
      </c>
      <c r="F144" t="s">
        <v>111</v>
      </c>
      <c r="G144" t="s">
        <v>104</v>
      </c>
      <c r="H144" s="11">
        <v>0.375</v>
      </c>
      <c r="I144" s="11">
        <v>0.36249999999999999</v>
      </c>
      <c r="J144" s="11">
        <v>0.75</v>
      </c>
      <c r="K144" s="11">
        <v>0.75486111111111109</v>
      </c>
      <c r="L144" t="s">
        <v>9</v>
      </c>
      <c r="M144" s="5">
        <f>IF(OR(I144="",H144=""),"",MAX(0,ROUND((I144-H144-Parametros!$B$4)*1440,0)))</f>
        <v>0</v>
      </c>
      <c r="N144" t="str">
        <f t="shared" si="2"/>
        <v>Sin novedad</v>
      </c>
      <c r="O144" t="s">
        <v>125</v>
      </c>
    </row>
    <row r="145" spans="1:15" x14ac:dyDescent="0.3">
      <c r="A145" s="13">
        <v>46064</v>
      </c>
      <c r="B145" t="s">
        <v>127</v>
      </c>
      <c r="C145" t="s">
        <v>64</v>
      </c>
      <c r="D145" t="s">
        <v>65</v>
      </c>
      <c r="E145" t="s">
        <v>25</v>
      </c>
      <c r="F145" t="s">
        <v>112</v>
      </c>
      <c r="G145" t="s">
        <v>90</v>
      </c>
      <c r="H145" s="11">
        <v>0.375</v>
      </c>
      <c r="I145" s="11">
        <v>0.37083333333333329</v>
      </c>
      <c r="J145" s="11">
        <v>0.75</v>
      </c>
      <c r="K145" s="11">
        <v>0.75</v>
      </c>
      <c r="L145" t="s">
        <v>9</v>
      </c>
      <c r="M145" s="5">
        <f>IF(OR(I145="",H145=""),"",MAX(0,ROUND((I145-H145-Parametros!$B$4)*1440,0)))</f>
        <v>0</v>
      </c>
      <c r="N145" t="str">
        <f t="shared" si="2"/>
        <v>Sin novedad</v>
      </c>
      <c r="O145" t="s">
        <v>124</v>
      </c>
    </row>
    <row r="146" spans="1:15" x14ac:dyDescent="0.3">
      <c r="A146" s="13">
        <v>46065</v>
      </c>
      <c r="B146" t="s">
        <v>130</v>
      </c>
      <c r="C146" t="s">
        <v>30</v>
      </c>
      <c r="D146" t="s">
        <v>31</v>
      </c>
      <c r="E146" t="s">
        <v>24</v>
      </c>
      <c r="F146" t="s">
        <v>89</v>
      </c>
      <c r="G146" t="s">
        <v>90</v>
      </c>
      <c r="H146" s="11">
        <v>0.375</v>
      </c>
      <c r="I146" s="11">
        <v>0.36736111111111108</v>
      </c>
      <c r="J146" s="11">
        <v>0.75</v>
      </c>
      <c r="K146" s="11">
        <v>0.74583333333333335</v>
      </c>
      <c r="L146" t="s">
        <v>9</v>
      </c>
      <c r="M146" s="5">
        <f>IF(OR(I146="",H146=""),"",MAX(0,ROUND((I146-H146-Parametros!$B$4)*1440,0)))</f>
        <v>0</v>
      </c>
      <c r="N146" t="str">
        <f t="shared" si="2"/>
        <v>Sin novedad</v>
      </c>
      <c r="O146" t="s">
        <v>125</v>
      </c>
    </row>
    <row r="147" spans="1:15" x14ac:dyDescent="0.3">
      <c r="A147" s="13">
        <v>46065</v>
      </c>
      <c r="B147" t="s">
        <v>130</v>
      </c>
      <c r="C147" t="s">
        <v>32</v>
      </c>
      <c r="D147" t="s">
        <v>33</v>
      </c>
      <c r="E147" t="s">
        <v>23</v>
      </c>
      <c r="F147" t="s">
        <v>92</v>
      </c>
      <c r="G147" t="s">
        <v>90</v>
      </c>
      <c r="H147" s="11">
        <v>0.375</v>
      </c>
      <c r="I147" s="11">
        <v>0.37569444444444439</v>
      </c>
      <c r="J147" s="11">
        <v>0.75</v>
      </c>
      <c r="K147" s="11">
        <v>0.74652777777777779</v>
      </c>
      <c r="L147" t="s">
        <v>9</v>
      </c>
      <c r="M147" s="5">
        <f>IF(OR(I147="",H147=""),"",MAX(0,ROUND((I147-H147-Parametros!$B$4)*1440,0)))</f>
        <v>0</v>
      </c>
      <c r="N147" t="str">
        <f t="shared" si="2"/>
        <v>Sin novedad</v>
      </c>
      <c r="O147" t="s">
        <v>125</v>
      </c>
    </row>
    <row r="148" spans="1:15" x14ac:dyDescent="0.3">
      <c r="A148" s="13">
        <v>46065</v>
      </c>
      <c r="B148" t="s">
        <v>130</v>
      </c>
      <c r="C148" t="s">
        <v>34</v>
      </c>
      <c r="D148" t="s">
        <v>35</v>
      </c>
      <c r="E148" t="s">
        <v>22</v>
      </c>
      <c r="F148" t="s">
        <v>94</v>
      </c>
      <c r="G148" t="s">
        <v>90</v>
      </c>
      <c r="H148" s="11">
        <v>0.375</v>
      </c>
      <c r="I148" s="11">
        <v>0.37152777777777779</v>
      </c>
      <c r="J148" s="11">
        <v>0.75</v>
      </c>
      <c r="K148" s="11">
        <v>0.75763888888888886</v>
      </c>
      <c r="L148" t="s">
        <v>9</v>
      </c>
      <c r="M148" s="5">
        <f>IF(OR(I148="",H148=""),"",MAX(0,ROUND((I148-H148-Parametros!$B$4)*1440,0)))</f>
        <v>0</v>
      </c>
      <c r="N148" t="str">
        <f t="shared" si="2"/>
        <v>Sin novedad</v>
      </c>
      <c r="O148" t="s">
        <v>124</v>
      </c>
    </row>
    <row r="149" spans="1:15" x14ac:dyDescent="0.3">
      <c r="A149" s="13">
        <v>46065</v>
      </c>
      <c r="B149" t="s">
        <v>130</v>
      </c>
      <c r="C149" t="s">
        <v>36</v>
      </c>
      <c r="D149" t="s">
        <v>37</v>
      </c>
      <c r="E149" t="s">
        <v>25</v>
      </c>
      <c r="F149" t="s">
        <v>95</v>
      </c>
      <c r="G149" t="s">
        <v>90</v>
      </c>
      <c r="H149" s="11">
        <v>0.375</v>
      </c>
      <c r="I149" s="11">
        <v>0.38124999999999998</v>
      </c>
      <c r="J149" s="11">
        <v>0.75</v>
      </c>
      <c r="K149" s="11">
        <v>0.75972222222222219</v>
      </c>
      <c r="L149" t="s">
        <v>9</v>
      </c>
      <c r="M149" s="5">
        <f>IF(OR(I149="",H149=""),"",MAX(0,ROUND((I149-H149-Parametros!$B$4)*1440,0)))</f>
        <v>0</v>
      </c>
      <c r="N149" t="str">
        <f t="shared" si="2"/>
        <v>Sin novedad</v>
      </c>
      <c r="O149" t="s">
        <v>123</v>
      </c>
    </row>
    <row r="150" spans="1:15" x14ac:dyDescent="0.3">
      <c r="A150" s="13">
        <v>46065</v>
      </c>
      <c r="B150" t="s">
        <v>130</v>
      </c>
      <c r="C150" t="s">
        <v>38</v>
      </c>
      <c r="D150" t="s">
        <v>39</v>
      </c>
      <c r="E150" t="s">
        <v>21</v>
      </c>
      <c r="F150" t="s">
        <v>97</v>
      </c>
      <c r="G150" t="s">
        <v>90</v>
      </c>
      <c r="H150" s="11">
        <v>0.375</v>
      </c>
      <c r="I150" s="11">
        <v>0.37638888888888888</v>
      </c>
      <c r="J150" s="11">
        <v>0.75</v>
      </c>
      <c r="K150" s="11">
        <v>0.76180555555555551</v>
      </c>
      <c r="L150" t="s">
        <v>9</v>
      </c>
      <c r="M150" s="5">
        <f>IF(OR(I150="",H150=""),"",MAX(0,ROUND((I150-H150-Parametros!$B$4)*1440,0)))</f>
        <v>0</v>
      </c>
      <c r="N150" t="str">
        <f t="shared" si="2"/>
        <v>Sin novedad</v>
      </c>
      <c r="O150" t="s">
        <v>125</v>
      </c>
    </row>
    <row r="151" spans="1:15" x14ac:dyDescent="0.3">
      <c r="A151" s="13">
        <v>46065</v>
      </c>
      <c r="B151" t="s">
        <v>130</v>
      </c>
      <c r="C151" t="s">
        <v>40</v>
      </c>
      <c r="D151" t="s">
        <v>41</v>
      </c>
      <c r="E151" t="s">
        <v>23</v>
      </c>
      <c r="F151" t="s">
        <v>98</v>
      </c>
      <c r="G151" t="s">
        <v>99</v>
      </c>
      <c r="H151" s="11">
        <v>0.375</v>
      </c>
      <c r="I151" s="11">
        <v>0.40555555555555561</v>
      </c>
      <c r="J151" s="11">
        <v>0.75</v>
      </c>
      <c r="K151" s="11">
        <v>0.7729166666666667</v>
      </c>
      <c r="L151" t="s">
        <v>11</v>
      </c>
      <c r="M151" s="5">
        <f>IF(OR(I151="",H151=""),"",MAX(0,ROUND((I151-H151-Parametros!$B$4)*1440,0)))</f>
        <v>34</v>
      </c>
      <c r="N151" t="str">
        <f t="shared" si="2"/>
        <v>Tardanza</v>
      </c>
      <c r="O151" t="s">
        <v>129</v>
      </c>
    </row>
    <row r="152" spans="1:15" x14ac:dyDescent="0.3">
      <c r="A152" s="13">
        <v>46065</v>
      </c>
      <c r="B152" t="s">
        <v>130</v>
      </c>
      <c r="C152" t="s">
        <v>42</v>
      </c>
      <c r="D152" t="s">
        <v>43</v>
      </c>
      <c r="E152" t="s">
        <v>24</v>
      </c>
      <c r="F152" t="s">
        <v>100</v>
      </c>
      <c r="G152" t="s">
        <v>90</v>
      </c>
      <c r="H152" s="11">
        <v>0.375</v>
      </c>
      <c r="I152" s="11">
        <v>0.37916666666666671</v>
      </c>
      <c r="J152" s="11">
        <v>0.75</v>
      </c>
      <c r="K152" s="11">
        <v>0.76249999999999996</v>
      </c>
      <c r="L152" t="s">
        <v>9</v>
      </c>
      <c r="M152" s="5">
        <f>IF(OR(I152="",H152=""),"",MAX(0,ROUND((I152-H152-Parametros!$B$4)*1440,0)))</f>
        <v>0</v>
      </c>
      <c r="N152" t="str">
        <f t="shared" si="2"/>
        <v>Sin novedad</v>
      </c>
      <c r="O152" t="s">
        <v>123</v>
      </c>
    </row>
    <row r="153" spans="1:15" x14ac:dyDescent="0.3">
      <c r="A153" s="13">
        <v>46065</v>
      </c>
      <c r="B153" t="s">
        <v>130</v>
      </c>
      <c r="C153" t="s">
        <v>44</v>
      </c>
      <c r="D153" t="s">
        <v>45</v>
      </c>
      <c r="E153" t="s">
        <v>25</v>
      </c>
      <c r="F153" t="s">
        <v>101</v>
      </c>
      <c r="G153" t="s">
        <v>90</v>
      </c>
      <c r="H153" s="11">
        <v>0.375</v>
      </c>
      <c r="I153" s="11">
        <v>0.36805555555555558</v>
      </c>
      <c r="J153" s="11">
        <v>0.75</v>
      </c>
      <c r="K153" s="11">
        <v>0.75555555555555554</v>
      </c>
      <c r="L153" t="s">
        <v>9</v>
      </c>
      <c r="M153" s="5">
        <f>IF(OR(I153="",H153=""),"",MAX(0,ROUND((I153-H153-Parametros!$B$4)*1440,0)))</f>
        <v>0</v>
      </c>
      <c r="N153" t="str">
        <f t="shared" si="2"/>
        <v>Sin novedad</v>
      </c>
      <c r="O153" t="s">
        <v>124</v>
      </c>
    </row>
    <row r="154" spans="1:15" x14ac:dyDescent="0.3">
      <c r="A154" s="13">
        <v>46065</v>
      </c>
      <c r="B154" t="s">
        <v>130</v>
      </c>
      <c r="C154" t="s">
        <v>46</v>
      </c>
      <c r="D154" t="s">
        <v>47</v>
      </c>
      <c r="E154" t="s">
        <v>22</v>
      </c>
      <c r="F154" t="s">
        <v>102</v>
      </c>
      <c r="G154" t="s">
        <v>90</v>
      </c>
      <c r="H154" s="11">
        <v>0.375</v>
      </c>
      <c r="I154" s="11">
        <v>0.38194444444444442</v>
      </c>
      <c r="J154" s="11">
        <v>0.75</v>
      </c>
      <c r="K154" s="11">
        <v>0.76111111111111107</v>
      </c>
      <c r="L154" t="s">
        <v>9</v>
      </c>
      <c r="M154" s="5">
        <f>IF(OR(I154="",H154=""),"",MAX(0,ROUND((I154-H154-Parametros!$B$4)*1440,0)))</f>
        <v>0</v>
      </c>
      <c r="N154" t="str">
        <f t="shared" si="2"/>
        <v>Sin novedad</v>
      </c>
      <c r="O154" t="s">
        <v>124</v>
      </c>
    </row>
    <row r="155" spans="1:15" x14ac:dyDescent="0.3">
      <c r="A155" s="13">
        <v>46065</v>
      </c>
      <c r="B155" t="s">
        <v>130</v>
      </c>
      <c r="C155" t="s">
        <v>48</v>
      </c>
      <c r="D155" t="s">
        <v>49</v>
      </c>
      <c r="E155" t="s">
        <v>21</v>
      </c>
      <c r="F155" t="s">
        <v>103</v>
      </c>
      <c r="G155" t="s">
        <v>104</v>
      </c>
      <c r="H155" s="11">
        <v>0.375</v>
      </c>
      <c r="I155" s="11">
        <v>0.37708333333333333</v>
      </c>
      <c r="J155" s="11">
        <v>0.75</v>
      </c>
      <c r="K155" s="11">
        <v>0.7583333333333333</v>
      </c>
      <c r="L155" t="s">
        <v>9</v>
      </c>
      <c r="M155" s="5">
        <f>IF(OR(I155="",H155=""),"",MAX(0,ROUND((I155-H155-Parametros!$B$4)*1440,0)))</f>
        <v>0</v>
      </c>
      <c r="N155" t="str">
        <f t="shared" si="2"/>
        <v>Sin novedad</v>
      </c>
      <c r="O155" t="s">
        <v>123</v>
      </c>
    </row>
    <row r="156" spans="1:15" x14ac:dyDescent="0.3">
      <c r="A156" s="13">
        <v>46065</v>
      </c>
      <c r="B156" t="s">
        <v>130</v>
      </c>
      <c r="C156" t="s">
        <v>50</v>
      </c>
      <c r="D156" t="s">
        <v>51</v>
      </c>
      <c r="E156" t="s">
        <v>23</v>
      </c>
      <c r="F156" t="s">
        <v>105</v>
      </c>
      <c r="G156" t="s">
        <v>99</v>
      </c>
      <c r="H156" s="11">
        <v>0.375</v>
      </c>
      <c r="I156" s="11"/>
      <c r="J156" s="11">
        <v>0.75</v>
      </c>
      <c r="K156" s="11"/>
      <c r="L156" t="s">
        <v>15</v>
      </c>
      <c r="M156" s="5" t="str">
        <f>IF(OR(I156="",H156=""),"",MAX(0,ROUND((I156-H156-Parametros!$B$4)*1440,0)))</f>
        <v/>
      </c>
      <c r="N156" t="str">
        <f t="shared" si="2"/>
        <v>Permiso</v>
      </c>
      <c r="O156" t="s">
        <v>135</v>
      </c>
    </row>
    <row r="157" spans="1:15" x14ac:dyDescent="0.3">
      <c r="A157" s="13">
        <v>46065</v>
      </c>
      <c r="B157" t="s">
        <v>130</v>
      </c>
      <c r="C157" t="s">
        <v>52</v>
      </c>
      <c r="D157" t="s">
        <v>53</v>
      </c>
      <c r="E157" t="s">
        <v>25</v>
      </c>
      <c r="F157" t="s">
        <v>106</v>
      </c>
      <c r="G157" t="s">
        <v>90</v>
      </c>
      <c r="H157" s="11">
        <v>0.375</v>
      </c>
      <c r="I157" s="11">
        <v>0.37986111111111109</v>
      </c>
      <c r="J157" s="11">
        <v>0.75</v>
      </c>
      <c r="K157" s="11">
        <v>0.75277777777777777</v>
      </c>
      <c r="L157" t="s">
        <v>9</v>
      </c>
      <c r="M157" s="5">
        <f>IF(OR(I157="",H157=""),"",MAX(0,ROUND((I157-H157-Parametros!$B$4)*1440,0)))</f>
        <v>0</v>
      </c>
      <c r="N157" t="str">
        <f t="shared" si="2"/>
        <v>Sin novedad</v>
      </c>
      <c r="O157" t="s">
        <v>123</v>
      </c>
    </row>
    <row r="158" spans="1:15" x14ac:dyDescent="0.3">
      <c r="A158" s="13">
        <v>46065</v>
      </c>
      <c r="B158" t="s">
        <v>130</v>
      </c>
      <c r="C158" t="s">
        <v>54</v>
      </c>
      <c r="D158" t="s">
        <v>55</v>
      </c>
      <c r="E158" t="s">
        <v>21</v>
      </c>
      <c r="F158" t="s">
        <v>107</v>
      </c>
      <c r="G158" t="s">
        <v>104</v>
      </c>
      <c r="H158" s="11">
        <v>0.375</v>
      </c>
      <c r="I158" s="11">
        <v>0.38194444444444442</v>
      </c>
      <c r="J158" s="11">
        <v>0.75</v>
      </c>
      <c r="K158" s="11">
        <v>0.75347222222222221</v>
      </c>
      <c r="L158" t="s">
        <v>9</v>
      </c>
      <c r="M158" s="5">
        <f>IF(OR(I158="",H158=""),"",MAX(0,ROUND((I158-H158-Parametros!$B$4)*1440,0)))</f>
        <v>0</v>
      </c>
      <c r="N158" t="str">
        <f t="shared" si="2"/>
        <v>Sin novedad</v>
      </c>
      <c r="O158" t="s">
        <v>125</v>
      </c>
    </row>
    <row r="159" spans="1:15" x14ac:dyDescent="0.3">
      <c r="A159" s="13">
        <v>46065</v>
      </c>
      <c r="B159" t="s">
        <v>130</v>
      </c>
      <c r="C159" t="s">
        <v>56</v>
      </c>
      <c r="D159" t="s">
        <v>57</v>
      </c>
      <c r="E159" t="s">
        <v>23</v>
      </c>
      <c r="F159" t="s">
        <v>108</v>
      </c>
      <c r="G159" t="s">
        <v>99</v>
      </c>
      <c r="H159" s="11">
        <v>0.375</v>
      </c>
      <c r="I159" s="11"/>
      <c r="J159" s="11">
        <v>0.75</v>
      </c>
      <c r="K159" s="11"/>
      <c r="L159" t="s">
        <v>13</v>
      </c>
      <c r="M159" s="5" t="str">
        <f>IF(OR(I159="",H159=""),"",MAX(0,ROUND((I159-H159-Parametros!$B$4)*1440,0)))</f>
        <v/>
      </c>
      <c r="N159" t="str">
        <f t="shared" si="2"/>
        <v>Falta</v>
      </c>
      <c r="O159" t="s">
        <v>128</v>
      </c>
    </row>
    <row r="160" spans="1:15" x14ac:dyDescent="0.3">
      <c r="A160" s="13">
        <v>46065</v>
      </c>
      <c r="B160" t="s">
        <v>130</v>
      </c>
      <c r="C160" t="s">
        <v>58</v>
      </c>
      <c r="D160" t="s">
        <v>59</v>
      </c>
      <c r="E160" t="s">
        <v>22</v>
      </c>
      <c r="F160" t="s">
        <v>109</v>
      </c>
      <c r="G160" t="s">
        <v>90</v>
      </c>
      <c r="H160" s="11">
        <v>0.375</v>
      </c>
      <c r="I160" s="11"/>
      <c r="J160" s="11">
        <v>0.75</v>
      </c>
      <c r="K160" s="11"/>
      <c r="L160" t="s">
        <v>16</v>
      </c>
      <c r="M160" s="5" t="str">
        <f>IF(OR(I160="",H160=""),"",MAX(0,ROUND((I160-H160-Parametros!$B$4)*1440,0)))</f>
        <v/>
      </c>
      <c r="N160" t="str">
        <f t="shared" si="2"/>
        <v>Vacaciones</v>
      </c>
      <c r="O160" t="s">
        <v>134</v>
      </c>
    </row>
    <row r="161" spans="1:15" x14ac:dyDescent="0.3">
      <c r="A161" s="13">
        <v>46065</v>
      </c>
      <c r="B161" t="s">
        <v>130</v>
      </c>
      <c r="C161" t="s">
        <v>60</v>
      </c>
      <c r="D161" t="s">
        <v>61</v>
      </c>
      <c r="E161" t="s">
        <v>24</v>
      </c>
      <c r="F161" t="s">
        <v>110</v>
      </c>
      <c r="G161" t="s">
        <v>90</v>
      </c>
      <c r="H161" s="11">
        <v>0.375</v>
      </c>
      <c r="I161" s="11">
        <v>0.37291666666666667</v>
      </c>
      <c r="J161" s="11">
        <v>0.75</v>
      </c>
      <c r="K161" s="11">
        <v>0.76597222222222228</v>
      </c>
      <c r="L161" t="s">
        <v>9</v>
      </c>
      <c r="M161" s="5">
        <f>IF(OR(I161="",H161=""),"",MAX(0,ROUND((I161-H161-Parametros!$B$4)*1440,0)))</f>
        <v>0</v>
      </c>
      <c r="N161" t="str">
        <f t="shared" si="2"/>
        <v>Sin novedad</v>
      </c>
      <c r="O161" t="s">
        <v>124</v>
      </c>
    </row>
    <row r="162" spans="1:15" x14ac:dyDescent="0.3">
      <c r="A162" s="13">
        <v>46065</v>
      </c>
      <c r="B162" t="s">
        <v>130</v>
      </c>
      <c r="C162" t="s">
        <v>62</v>
      </c>
      <c r="D162" t="s">
        <v>63</v>
      </c>
      <c r="E162" t="s">
        <v>21</v>
      </c>
      <c r="F162" t="s">
        <v>111</v>
      </c>
      <c r="G162" t="s">
        <v>104</v>
      </c>
      <c r="H162" s="11">
        <v>0.375</v>
      </c>
      <c r="I162" s="11">
        <v>0.37291666666666667</v>
      </c>
      <c r="J162" s="11">
        <v>0.75</v>
      </c>
      <c r="K162" s="11">
        <v>0.76111111111111107</v>
      </c>
      <c r="L162" t="s">
        <v>9</v>
      </c>
      <c r="M162" s="5">
        <f>IF(OR(I162="",H162=""),"",MAX(0,ROUND((I162-H162-Parametros!$B$4)*1440,0)))</f>
        <v>0</v>
      </c>
      <c r="N162" t="str">
        <f t="shared" si="2"/>
        <v>Sin novedad</v>
      </c>
      <c r="O162" t="s">
        <v>124</v>
      </c>
    </row>
    <row r="163" spans="1:15" x14ac:dyDescent="0.3">
      <c r="A163" s="13">
        <v>46065</v>
      </c>
      <c r="B163" t="s">
        <v>130</v>
      </c>
      <c r="C163" t="s">
        <v>64</v>
      </c>
      <c r="D163" t="s">
        <v>65</v>
      </c>
      <c r="E163" t="s">
        <v>25</v>
      </c>
      <c r="F163" t="s">
        <v>112</v>
      </c>
      <c r="G163" t="s">
        <v>90</v>
      </c>
      <c r="H163" s="11">
        <v>0.375</v>
      </c>
      <c r="I163" s="11">
        <v>0.37777777777777782</v>
      </c>
      <c r="J163" s="11">
        <v>0.75</v>
      </c>
      <c r="K163" s="11">
        <v>0.75208333333333333</v>
      </c>
      <c r="L163" t="s">
        <v>9</v>
      </c>
      <c r="M163" s="5">
        <f>IF(OR(I163="",H163=""),"",MAX(0,ROUND((I163-H163-Parametros!$B$4)*1440,0)))</f>
        <v>0</v>
      </c>
      <c r="N163" t="str">
        <f t="shared" si="2"/>
        <v>Sin novedad</v>
      </c>
      <c r="O163" t="s">
        <v>123</v>
      </c>
    </row>
    <row r="164" spans="1:15" x14ac:dyDescent="0.3">
      <c r="A164" s="13">
        <v>46066</v>
      </c>
      <c r="B164" t="s">
        <v>131</v>
      </c>
      <c r="C164" t="s">
        <v>30</v>
      </c>
      <c r="D164" t="s">
        <v>31</v>
      </c>
      <c r="E164" t="s">
        <v>24</v>
      </c>
      <c r="F164" t="s">
        <v>89</v>
      </c>
      <c r="G164" t="s">
        <v>90</v>
      </c>
      <c r="H164" s="11">
        <v>0.375</v>
      </c>
      <c r="I164" s="11">
        <v>0.37430555555555561</v>
      </c>
      <c r="J164" s="11">
        <v>0.75</v>
      </c>
      <c r="K164" s="11">
        <v>0.76458333333333328</v>
      </c>
      <c r="L164" t="s">
        <v>9</v>
      </c>
      <c r="M164" s="5">
        <f>IF(OR(I164="",H164=""),"",MAX(0,ROUND((I164-H164-Parametros!$B$4)*1440,0)))</f>
        <v>0</v>
      </c>
      <c r="N164" t="str">
        <f t="shared" si="2"/>
        <v>Sin novedad</v>
      </c>
      <c r="O164" t="s">
        <v>123</v>
      </c>
    </row>
    <row r="165" spans="1:15" x14ac:dyDescent="0.3">
      <c r="A165" s="13">
        <v>46066</v>
      </c>
      <c r="B165" t="s">
        <v>131</v>
      </c>
      <c r="C165" t="s">
        <v>32</v>
      </c>
      <c r="D165" t="s">
        <v>33</v>
      </c>
      <c r="E165" t="s">
        <v>23</v>
      </c>
      <c r="F165" t="s">
        <v>92</v>
      </c>
      <c r="G165" t="s">
        <v>90</v>
      </c>
      <c r="H165" s="11">
        <v>0.375</v>
      </c>
      <c r="I165" s="11">
        <v>0.36944444444444452</v>
      </c>
      <c r="J165" s="11">
        <v>0.75</v>
      </c>
      <c r="K165" s="11">
        <v>0.75694444444444442</v>
      </c>
      <c r="L165" t="s">
        <v>9</v>
      </c>
      <c r="M165" s="5">
        <f>IF(OR(I165="",H165=""),"",MAX(0,ROUND((I165-H165-Parametros!$B$4)*1440,0)))</f>
        <v>0</v>
      </c>
      <c r="N165" t="str">
        <f t="shared" si="2"/>
        <v>Sin novedad</v>
      </c>
      <c r="O165" t="s">
        <v>125</v>
      </c>
    </row>
    <row r="166" spans="1:15" x14ac:dyDescent="0.3">
      <c r="A166" s="13">
        <v>46066</v>
      </c>
      <c r="B166" t="s">
        <v>131</v>
      </c>
      <c r="C166" t="s">
        <v>34</v>
      </c>
      <c r="D166" t="s">
        <v>35</v>
      </c>
      <c r="E166" t="s">
        <v>22</v>
      </c>
      <c r="F166" t="s">
        <v>94</v>
      </c>
      <c r="G166" t="s">
        <v>90</v>
      </c>
      <c r="H166" s="11">
        <v>0.375</v>
      </c>
      <c r="I166" s="11">
        <v>0.36736111111111108</v>
      </c>
      <c r="J166" s="11">
        <v>0.75</v>
      </c>
      <c r="K166" s="11">
        <v>0.74652777777777779</v>
      </c>
      <c r="L166" t="s">
        <v>9</v>
      </c>
      <c r="M166" s="5">
        <f>IF(OR(I166="",H166=""),"",MAX(0,ROUND((I166-H166-Parametros!$B$4)*1440,0)))</f>
        <v>0</v>
      </c>
      <c r="N166" t="str">
        <f t="shared" si="2"/>
        <v>Sin novedad</v>
      </c>
      <c r="O166" t="s">
        <v>125</v>
      </c>
    </row>
    <row r="167" spans="1:15" x14ac:dyDescent="0.3">
      <c r="A167" s="13">
        <v>46066</v>
      </c>
      <c r="B167" t="s">
        <v>131</v>
      </c>
      <c r="C167" t="s">
        <v>36</v>
      </c>
      <c r="D167" t="s">
        <v>37</v>
      </c>
      <c r="E167" t="s">
        <v>25</v>
      </c>
      <c r="F167" t="s">
        <v>95</v>
      </c>
      <c r="G167" t="s">
        <v>90</v>
      </c>
      <c r="H167" s="11">
        <v>0.375</v>
      </c>
      <c r="I167" s="11">
        <v>0.40625</v>
      </c>
      <c r="J167" s="11">
        <v>0.75</v>
      </c>
      <c r="K167" s="11">
        <v>0.75208333333333333</v>
      </c>
      <c r="L167" t="s">
        <v>11</v>
      </c>
      <c r="M167" s="5">
        <f>IF(OR(I167="",H167=""),"",MAX(0,ROUND((I167-H167-Parametros!$B$4)*1440,0)))</f>
        <v>35</v>
      </c>
      <c r="N167" t="str">
        <f t="shared" si="2"/>
        <v>Tardanza</v>
      </c>
      <c r="O167" t="s">
        <v>121</v>
      </c>
    </row>
    <row r="168" spans="1:15" x14ac:dyDescent="0.3">
      <c r="A168" s="13">
        <v>46066</v>
      </c>
      <c r="B168" t="s">
        <v>131</v>
      </c>
      <c r="C168" t="s">
        <v>38</v>
      </c>
      <c r="D168" t="s">
        <v>39</v>
      </c>
      <c r="E168" t="s">
        <v>21</v>
      </c>
      <c r="F168" t="s">
        <v>97</v>
      </c>
      <c r="G168" t="s">
        <v>90</v>
      </c>
      <c r="H168" s="11">
        <v>0.375</v>
      </c>
      <c r="I168" s="11">
        <v>0.37847222222222221</v>
      </c>
      <c r="J168" s="11">
        <v>0.75</v>
      </c>
      <c r="K168" s="11">
        <v>0.76736111111111116</v>
      </c>
      <c r="L168" t="s">
        <v>9</v>
      </c>
      <c r="M168" s="5">
        <f>IF(OR(I168="",H168=""),"",MAX(0,ROUND((I168-H168-Parametros!$B$4)*1440,0)))</f>
        <v>0</v>
      </c>
      <c r="N168" t="str">
        <f t="shared" si="2"/>
        <v>Sin novedad</v>
      </c>
      <c r="O168" t="s">
        <v>125</v>
      </c>
    </row>
    <row r="169" spans="1:15" x14ac:dyDescent="0.3">
      <c r="A169" s="13">
        <v>46066</v>
      </c>
      <c r="B169" t="s">
        <v>131</v>
      </c>
      <c r="C169" t="s">
        <v>40</v>
      </c>
      <c r="D169" t="s">
        <v>41</v>
      </c>
      <c r="E169" t="s">
        <v>23</v>
      </c>
      <c r="F169" t="s">
        <v>98</v>
      </c>
      <c r="G169" t="s">
        <v>99</v>
      </c>
      <c r="H169" s="11">
        <v>0.375</v>
      </c>
      <c r="I169" s="11">
        <v>0.38055555555555548</v>
      </c>
      <c r="J169" s="11">
        <v>0.75</v>
      </c>
      <c r="K169" s="11">
        <v>0.75</v>
      </c>
      <c r="L169" t="s">
        <v>9</v>
      </c>
      <c r="M169" s="5">
        <f>IF(OR(I169="",H169=""),"",MAX(0,ROUND((I169-H169-Parametros!$B$4)*1440,0)))</f>
        <v>0</v>
      </c>
      <c r="N169" t="str">
        <f t="shared" si="2"/>
        <v>Sin novedad</v>
      </c>
      <c r="O169" t="s">
        <v>123</v>
      </c>
    </row>
    <row r="170" spans="1:15" x14ac:dyDescent="0.3">
      <c r="A170" s="13">
        <v>46066</v>
      </c>
      <c r="B170" t="s">
        <v>131</v>
      </c>
      <c r="C170" t="s">
        <v>42</v>
      </c>
      <c r="D170" t="s">
        <v>43</v>
      </c>
      <c r="E170" t="s">
        <v>24</v>
      </c>
      <c r="F170" t="s">
        <v>100</v>
      </c>
      <c r="G170" t="s">
        <v>90</v>
      </c>
      <c r="H170" s="11">
        <v>0.375</v>
      </c>
      <c r="I170" s="11">
        <v>0.36249999999999999</v>
      </c>
      <c r="J170" s="11">
        <v>0.75</v>
      </c>
      <c r="K170" s="11">
        <v>0.76527777777777772</v>
      </c>
      <c r="L170" t="s">
        <v>9</v>
      </c>
      <c r="M170" s="5">
        <f>IF(OR(I170="",H170=""),"",MAX(0,ROUND((I170-H170-Parametros!$B$4)*1440,0)))</f>
        <v>0</v>
      </c>
      <c r="N170" t="str">
        <f t="shared" si="2"/>
        <v>Sin novedad</v>
      </c>
      <c r="O170" t="s">
        <v>124</v>
      </c>
    </row>
    <row r="171" spans="1:15" x14ac:dyDescent="0.3">
      <c r="A171" s="13">
        <v>46066</v>
      </c>
      <c r="B171" t="s">
        <v>131</v>
      </c>
      <c r="C171" t="s">
        <v>44</v>
      </c>
      <c r="D171" t="s">
        <v>45</v>
      </c>
      <c r="E171" t="s">
        <v>25</v>
      </c>
      <c r="F171" t="s">
        <v>101</v>
      </c>
      <c r="G171" t="s">
        <v>90</v>
      </c>
      <c r="H171" s="11">
        <v>0.375</v>
      </c>
      <c r="I171" s="11">
        <v>0.37430555555555561</v>
      </c>
      <c r="J171" s="11">
        <v>0.75</v>
      </c>
      <c r="K171" s="11">
        <v>0.75416666666666665</v>
      </c>
      <c r="L171" t="s">
        <v>9</v>
      </c>
      <c r="M171" s="5">
        <f>IF(OR(I171="",H171=""),"",MAX(0,ROUND((I171-H171-Parametros!$B$4)*1440,0)))</f>
        <v>0</v>
      </c>
      <c r="N171" t="str">
        <f t="shared" si="2"/>
        <v>Sin novedad</v>
      </c>
      <c r="O171" t="s">
        <v>125</v>
      </c>
    </row>
    <row r="172" spans="1:15" x14ac:dyDescent="0.3">
      <c r="A172" s="13">
        <v>46066</v>
      </c>
      <c r="B172" t="s">
        <v>131</v>
      </c>
      <c r="C172" t="s">
        <v>46</v>
      </c>
      <c r="D172" t="s">
        <v>47</v>
      </c>
      <c r="E172" t="s">
        <v>22</v>
      </c>
      <c r="F172" t="s">
        <v>102</v>
      </c>
      <c r="G172" t="s">
        <v>90</v>
      </c>
      <c r="H172" s="11">
        <v>0.375</v>
      </c>
      <c r="I172" s="11">
        <v>0.37916666666666671</v>
      </c>
      <c r="J172" s="11">
        <v>0.75</v>
      </c>
      <c r="K172" s="11">
        <v>0.7631944444444444</v>
      </c>
      <c r="L172" t="s">
        <v>9</v>
      </c>
      <c r="M172" s="5">
        <f>IF(OR(I172="",H172=""),"",MAX(0,ROUND((I172-H172-Parametros!$B$4)*1440,0)))</f>
        <v>0</v>
      </c>
      <c r="N172" t="str">
        <f t="shared" si="2"/>
        <v>Sin novedad</v>
      </c>
      <c r="O172" t="s">
        <v>124</v>
      </c>
    </row>
    <row r="173" spans="1:15" x14ac:dyDescent="0.3">
      <c r="A173" s="13">
        <v>46066</v>
      </c>
      <c r="B173" t="s">
        <v>131</v>
      </c>
      <c r="C173" t="s">
        <v>48</v>
      </c>
      <c r="D173" t="s">
        <v>49</v>
      </c>
      <c r="E173" t="s">
        <v>21</v>
      </c>
      <c r="F173" t="s">
        <v>103</v>
      </c>
      <c r="G173" t="s">
        <v>104</v>
      </c>
      <c r="H173" s="11">
        <v>0.375</v>
      </c>
      <c r="I173" s="11">
        <v>0.37291666666666667</v>
      </c>
      <c r="J173" s="11">
        <v>0.75</v>
      </c>
      <c r="K173" s="11">
        <v>0.76249999999999996</v>
      </c>
      <c r="L173" t="s">
        <v>9</v>
      </c>
      <c r="M173" s="5">
        <f>IF(OR(I173="",H173=""),"",MAX(0,ROUND((I173-H173-Parametros!$B$4)*1440,0)))</f>
        <v>0</v>
      </c>
      <c r="N173" t="str">
        <f t="shared" si="2"/>
        <v>Sin novedad</v>
      </c>
      <c r="O173" t="s">
        <v>123</v>
      </c>
    </row>
    <row r="174" spans="1:15" x14ac:dyDescent="0.3">
      <c r="A174" s="13">
        <v>46066</v>
      </c>
      <c r="B174" t="s">
        <v>131</v>
      </c>
      <c r="C174" t="s">
        <v>50</v>
      </c>
      <c r="D174" t="s">
        <v>51</v>
      </c>
      <c r="E174" t="s">
        <v>23</v>
      </c>
      <c r="F174" t="s">
        <v>105</v>
      </c>
      <c r="G174" t="s">
        <v>99</v>
      </c>
      <c r="H174" s="11">
        <v>0.375</v>
      </c>
      <c r="I174" s="11">
        <v>0.36805555555555558</v>
      </c>
      <c r="J174" s="11">
        <v>0.75</v>
      </c>
      <c r="K174" s="11">
        <v>0.76249999999999996</v>
      </c>
      <c r="L174" t="s">
        <v>9</v>
      </c>
      <c r="M174" s="5">
        <f>IF(OR(I174="",H174=""),"",MAX(0,ROUND((I174-H174-Parametros!$B$4)*1440,0)))</f>
        <v>0</v>
      </c>
      <c r="N174" t="str">
        <f t="shared" si="2"/>
        <v>Sin novedad</v>
      </c>
      <c r="O174" t="s">
        <v>124</v>
      </c>
    </row>
    <row r="175" spans="1:15" x14ac:dyDescent="0.3">
      <c r="A175" s="13">
        <v>46066</v>
      </c>
      <c r="B175" t="s">
        <v>131</v>
      </c>
      <c r="C175" t="s">
        <v>52</v>
      </c>
      <c r="D175" t="s">
        <v>53</v>
      </c>
      <c r="E175" t="s">
        <v>25</v>
      </c>
      <c r="F175" t="s">
        <v>106</v>
      </c>
      <c r="G175" t="s">
        <v>90</v>
      </c>
      <c r="H175" s="11">
        <v>0.375</v>
      </c>
      <c r="I175" s="11">
        <v>0.36388888888888887</v>
      </c>
      <c r="J175" s="11">
        <v>0.75</v>
      </c>
      <c r="K175" s="11">
        <v>0.76666666666666672</v>
      </c>
      <c r="L175" t="s">
        <v>9</v>
      </c>
      <c r="M175" s="5">
        <f>IF(OR(I175="",H175=""),"",MAX(0,ROUND((I175-H175-Parametros!$B$4)*1440,0)))</f>
        <v>0</v>
      </c>
      <c r="N175" t="str">
        <f t="shared" si="2"/>
        <v>Sin novedad</v>
      </c>
      <c r="O175" t="s">
        <v>125</v>
      </c>
    </row>
    <row r="176" spans="1:15" x14ac:dyDescent="0.3">
      <c r="A176" s="13">
        <v>46066</v>
      </c>
      <c r="B176" t="s">
        <v>131</v>
      </c>
      <c r="C176" t="s">
        <v>54</v>
      </c>
      <c r="D176" t="s">
        <v>55</v>
      </c>
      <c r="E176" t="s">
        <v>21</v>
      </c>
      <c r="F176" t="s">
        <v>107</v>
      </c>
      <c r="G176" t="s">
        <v>104</v>
      </c>
      <c r="H176" s="11">
        <v>0.375</v>
      </c>
      <c r="I176" s="11">
        <v>0.37986111111111109</v>
      </c>
      <c r="J176" s="11">
        <v>0.75</v>
      </c>
      <c r="K176" s="11">
        <v>0.76666666666666672</v>
      </c>
      <c r="L176" t="s">
        <v>9</v>
      </c>
      <c r="M176" s="5">
        <f>IF(OR(I176="",H176=""),"",MAX(0,ROUND((I176-H176-Parametros!$B$4)*1440,0)))</f>
        <v>0</v>
      </c>
      <c r="N176" t="str">
        <f t="shared" si="2"/>
        <v>Sin novedad</v>
      </c>
      <c r="O176" t="s">
        <v>123</v>
      </c>
    </row>
    <row r="177" spans="1:15" x14ac:dyDescent="0.3">
      <c r="A177" s="13">
        <v>46066</v>
      </c>
      <c r="B177" t="s">
        <v>131</v>
      </c>
      <c r="C177" t="s">
        <v>56</v>
      </c>
      <c r="D177" t="s">
        <v>57</v>
      </c>
      <c r="E177" t="s">
        <v>23</v>
      </c>
      <c r="F177" t="s">
        <v>108</v>
      </c>
      <c r="G177" t="s">
        <v>99</v>
      </c>
      <c r="H177" s="11">
        <v>0.375</v>
      </c>
      <c r="I177" s="11">
        <v>0.37430555555555561</v>
      </c>
      <c r="J177" s="11">
        <v>0.75</v>
      </c>
      <c r="K177" s="11">
        <v>0.75972222222222219</v>
      </c>
      <c r="L177" t="s">
        <v>9</v>
      </c>
      <c r="M177" s="5">
        <f>IF(OR(I177="",H177=""),"",MAX(0,ROUND((I177-H177-Parametros!$B$4)*1440,0)))</f>
        <v>0</v>
      </c>
      <c r="N177" t="str">
        <f t="shared" si="2"/>
        <v>Sin novedad</v>
      </c>
      <c r="O177" t="s">
        <v>125</v>
      </c>
    </row>
    <row r="178" spans="1:15" x14ac:dyDescent="0.3">
      <c r="A178" s="13">
        <v>46066</v>
      </c>
      <c r="B178" t="s">
        <v>131</v>
      </c>
      <c r="C178" t="s">
        <v>58</v>
      </c>
      <c r="D178" t="s">
        <v>59</v>
      </c>
      <c r="E178" t="s">
        <v>22</v>
      </c>
      <c r="F178" t="s">
        <v>109</v>
      </c>
      <c r="G178" t="s">
        <v>90</v>
      </c>
      <c r="H178" s="11">
        <v>0.375</v>
      </c>
      <c r="I178" s="11"/>
      <c r="J178" s="11">
        <v>0.75</v>
      </c>
      <c r="K178" s="11"/>
      <c r="L178" t="s">
        <v>16</v>
      </c>
      <c r="M178" s="5" t="str">
        <f>IF(OR(I178="",H178=""),"",MAX(0,ROUND((I178-H178-Parametros!$B$4)*1440,0)))</f>
        <v/>
      </c>
      <c r="N178" t="str">
        <f t="shared" si="2"/>
        <v>Vacaciones</v>
      </c>
      <c r="O178" t="s">
        <v>134</v>
      </c>
    </row>
    <row r="179" spans="1:15" x14ac:dyDescent="0.3">
      <c r="A179" s="13">
        <v>46066</v>
      </c>
      <c r="B179" t="s">
        <v>131</v>
      </c>
      <c r="C179" t="s">
        <v>60</v>
      </c>
      <c r="D179" t="s">
        <v>61</v>
      </c>
      <c r="E179" t="s">
        <v>24</v>
      </c>
      <c r="F179" t="s">
        <v>110</v>
      </c>
      <c r="G179" t="s">
        <v>90</v>
      </c>
      <c r="H179" s="11">
        <v>0.375</v>
      </c>
      <c r="I179" s="11">
        <v>0.37916666666666671</v>
      </c>
      <c r="J179" s="11">
        <v>0.75</v>
      </c>
      <c r="K179" s="11">
        <v>0.76458333333333328</v>
      </c>
      <c r="L179" t="s">
        <v>9</v>
      </c>
      <c r="M179" s="5">
        <f>IF(OR(I179="",H179=""),"",MAX(0,ROUND((I179-H179-Parametros!$B$4)*1440,0)))</f>
        <v>0</v>
      </c>
      <c r="N179" t="str">
        <f t="shared" si="2"/>
        <v>Sin novedad</v>
      </c>
      <c r="O179" t="s">
        <v>123</v>
      </c>
    </row>
    <row r="180" spans="1:15" x14ac:dyDescent="0.3">
      <c r="A180" s="13">
        <v>46066</v>
      </c>
      <c r="B180" t="s">
        <v>131</v>
      </c>
      <c r="C180" t="s">
        <v>62</v>
      </c>
      <c r="D180" t="s">
        <v>63</v>
      </c>
      <c r="E180" t="s">
        <v>21</v>
      </c>
      <c r="F180" t="s">
        <v>111</v>
      </c>
      <c r="G180" t="s">
        <v>104</v>
      </c>
      <c r="H180" s="11">
        <v>0.375</v>
      </c>
      <c r="I180" s="11">
        <v>0.38124999999999998</v>
      </c>
      <c r="J180" s="11">
        <v>0.75</v>
      </c>
      <c r="K180" s="11">
        <v>0.76736111111111116</v>
      </c>
      <c r="L180" t="s">
        <v>9</v>
      </c>
      <c r="M180" s="5">
        <f>IF(OR(I180="",H180=""),"",MAX(0,ROUND((I180-H180-Parametros!$B$4)*1440,0)))</f>
        <v>0</v>
      </c>
      <c r="N180" t="str">
        <f t="shared" si="2"/>
        <v>Sin novedad</v>
      </c>
      <c r="O180" t="s">
        <v>123</v>
      </c>
    </row>
    <row r="181" spans="1:15" x14ac:dyDescent="0.3">
      <c r="A181" s="13">
        <v>46066</v>
      </c>
      <c r="B181" t="s">
        <v>131</v>
      </c>
      <c r="C181" t="s">
        <v>64</v>
      </c>
      <c r="D181" t="s">
        <v>65</v>
      </c>
      <c r="E181" t="s">
        <v>25</v>
      </c>
      <c r="F181" t="s">
        <v>112</v>
      </c>
      <c r="G181" t="s">
        <v>90</v>
      </c>
      <c r="H181" s="11">
        <v>0.375</v>
      </c>
      <c r="I181" s="11">
        <v>0.37569444444444439</v>
      </c>
      <c r="J181" s="11">
        <v>0.75</v>
      </c>
      <c r="K181" s="11">
        <v>0.74583333333333335</v>
      </c>
      <c r="L181" t="s">
        <v>9</v>
      </c>
      <c r="M181" s="5">
        <f>IF(OR(I181="",H181=""),"",MAX(0,ROUND((I181-H181-Parametros!$B$4)*1440,0)))</f>
        <v>0</v>
      </c>
      <c r="N181" t="str">
        <f t="shared" si="2"/>
        <v>Sin novedad</v>
      </c>
      <c r="O181" t="s">
        <v>124</v>
      </c>
    </row>
    <row r="182" spans="1:15" x14ac:dyDescent="0.3">
      <c r="A182" s="13">
        <v>46069</v>
      </c>
      <c r="B182" t="s">
        <v>120</v>
      </c>
      <c r="C182" t="s">
        <v>30</v>
      </c>
      <c r="D182" t="s">
        <v>31</v>
      </c>
      <c r="E182" t="s">
        <v>24</v>
      </c>
      <c r="F182" t="s">
        <v>89</v>
      </c>
      <c r="G182" t="s">
        <v>90</v>
      </c>
      <c r="H182" s="11">
        <v>0.375</v>
      </c>
      <c r="I182" s="11">
        <v>0.36388888888888887</v>
      </c>
      <c r="J182" s="11">
        <v>0.75</v>
      </c>
      <c r="K182" s="11">
        <v>0.74861111111111112</v>
      </c>
      <c r="L182" t="s">
        <v>9</v>
      </c>
      <c r="M182" s="5">
        <f>IF(OR(I182="",H182=""),"",MAX(0,ROUND((I182-H182-Parametros!$B$4)*1440,0)))</f>
        <v>0</v>
      </c>
      <c r="N182" t="str">
        <f t="shared" si="2"/>
        <v>Sin novedad</v>
      </c>
      <c r="O182" t="s">
        <v>124</v>
      </c>
    </row>
    <row r="183" spans="1:15" x14ac:dyDescent="0.3">
      <c r="A183" s="13">
        <v>46069</v>
      </c>
      <c r="B183" t="s">
        <v>120</v>
      </c>
      <c r="C183" t="s">
        <v>32</v>
      </c>
      <c r="D183" t="s">
        <v>33</v>
      </c>
      <c r="E183" t="s">
        <v>23</v>
      </c>
      <c r="F183" t="s">
        <v>92</v>
      </c>
      <c r="G183" t="s">
        <v>90</v>
      </c>
      <c r="H183" s="11">
        <v>0.375</v>
      </c>
      <c r="I183" s="11">
        <v>0.38263888888888892</v>
      </c>
      <c r="J183" s="11">
        <v>0.75</v>
      </c>
      <c r="K183" s="11">
        <v>0.76249999999999996</v>
      </c>
      <c r="L183" t="s">
        <v>11</v>
      </c>
      <c r="M183" s="5">
        <f>IF(OR(I183="",H183=""),"",MAX(0,ROUND((I183-H183-Parametros!$B$4)*1440,0)))</f>
        <v>1</v>
      </c>
      <c r="N183" t="str">
        <f t="shared" si="2"/>
        <v>Tardanza</v>
      </c>
      <c r="O183" t="s">
        <v>129</v>
      </c>
    </row>
    <row r="184" spans="1:15" x14ac:dyDescent="0.3">
      <c r="A184" s="13">
        <v>46069</v>
      </c>
      <c r="B184" t="s">
        <v>120</v>
      </c>
      <c r="C184" t="s">
        <v>34</v>
      </c>
      <c r="D184" t="s">
        <v>35</v>
      </c>
      <c r="E184" t="s">
        <v>22</v>
      </c>
      <c r="F184" t="s">
        <v>94</v>
      </c>
      <c r="G184" t="s">
        <v>90</v>
      </c>
      <c r="H184" s="11">
        <v>0.375</v>
      </c>
      <c r="I184" s="11">
        <v>0.36319444444444438</v>
      </c>
      <c r="J184" s="11">
        <v>0.75</v>
      </c>
      <c r="K184" s="11">
        <v>0.75138888888888888</v>
      </c>
      <c r="L184" t="s">
        <v>9</v>
      </c>
      <c r="M184" s="5">
        <f>IF(OR(I184="",H184=""),"",MAX(0,ROUND((I184-H184-Parametros!$B$4)*1440,0)))</f>
        <v>0</v>
      </c>
      <c r="N184" t="str">
        <f t="shared" si="2"/>
        <v>Sin novedad</v>
      </c>
      <c r="O184" t="s">
        <v>123</v>
      </c>
    </row>
    <row r="185" spans="1:15" x14ac:dyDescent="0.3">
      <c r="A185" s="13">
        <v>46069</v>
      </c>
      <c r="B185" t="s">
        <v>120</v>
      </c>
      <c r="C185" t="s">
        <v>36</v>
      </c>
      <c r="D185" t="s">
        <v>37</v>
      </c>
      <c r="E185" t="s">
        <v>25</v>
      </c>
      <c r="F185" t="s">
        <v>95</v>
      </c>
      <c r="G185" t="s">
        <v>90</v>
      </c>
      <c r="H185" s="11">
        <v>0.375</v>
      </c>
      <c r="I185" s="11">
        <v>0.37222222222222218</v>
      </c>
      <c r="J185" s="11">
        <v>0.75</v>
      </c>
      <c r="K185" s="11">
        <v>0.74444444444444446</v>
      </c>
      <c r="L185" t="s">
        <v>9</v>
      </c>
      <c r="M185" s="5">
        <f>IF(OR(I185="",H185=""),"",MAX(0,ROUND((I185-H185-Parametros!$B$4)*1440,0)))</f>
        <v>0</v>
      </c>
      <c r="N185" t="str">
        <f t="shared" si="2"/>
        <v>Sin novedad</v>
      </c>
      <c r="O185" t="s">
        <v>125</v>
      </c>
    </row>
    <row r="186" spans="1:15" x14ac:dyDescent="0.3">
      <c r="A186" s="13">
        <v>46069</v>
      </c>
      <c r="B186" t="s">
        <v>120</v>
      </c>
      <c r="C186" t="s">
        <v>38</v>
      </c>
      <c r="D186" t="s">
        <v>39</v>
      </c>
      <c r="E186" t="s">
        <v>21</v>
      </c>
      <c r="F186" t="s">
        <v>97</v>
      </c>
      <c r="G186" t="s">
        <v>90</v>
      </c>
      <c r="H186" s="11">
        <v>0.375</v>
      </c>
      <c r="I186" s="11">
        <v>0.37986111111111109</v>
      </c>
      <c r="J186" s="11">
        <v>0.75</v>
      </c>
      <c r="K186" s="11">
        <v>0.76944444444444449</v>
      </c>
      <c r="L186" t="s">
        <v>9</v>
      </c>
      <c r="M186" s="5">
        <f>IF(OR(I186="",H186=""),"",MAX(0,ROUND((I186-H186-Parametros!$B$4)*1440,0)))</f>
        <v>0</v>
      </c>
      <c r="N186" t="str">
        <f t="shared" si="2"/>
        <v>Sin novedad</v>
      </c>
      <c r="O186" t="s">
        <v>125</v>
      </c>
    </row>
    <row r="187" spans="1:15" x14ac:dyDescent="0.3">
      <c r="A187" s="13">
        <v>46069</v>
      </c>
      <c r="B187" t="s">
        <v>120</v>
      </c>
      <c r="C187" t="s">
        <v>40</v>
      </c>
      <c r="D187" t="s">
        <v>41</v>
      </c>
      <c r="E187" t="s">
        <v>23</v>
      </c>
      <c r="F187" t="s">
        <v>98</v>
      </c>
      <c r="G187" t="s">
        <v>99</v>
      </c>
      <c r="H187" s="11">
        <v>0.375</v>
      </c>
      <c r="I187" s="11">
        <v>0.37152777777777779</v>
      </c>
      <c r="J187" s="11">
        <v>0.75</v>
      </c>
      <c r="K187" s="11">
        <v>0.74652777777777779</v>
      </c>
      <c r="L187" t="s">
        <v>9</v>
      </c>
      <c r="M187" s="5">
        <f>IF(OR(I187="",H187=""),"",MAX(0,ROUND((I187-H187-Parametros!$B$4)*1440,0)))</f>
        <v>0</v>
      </c>
      <c r="N187" t="str">
        <f t="shared" si="2"/>
        <v>Sin novedad</v>
      </c>
      <c r="O187" t="s">
        <v>125</v>
      </c>
    </row>
    <row r="188" spans="1:15" x14ac:dyDescent="0.3">
      <c r="A188" s="13">
        <v>46069</v>
      </c>
      <c r="B188" t="s">
        <v>120</v>
      </c>
      <c r="C188" t="s">
        <v>42</v>
      </c>
      <c r="D188" t="s">
        <v>43</v>
      </c>
      <c r="E188" t="s">
        <v>24</v>
      </c>
      <c r="F188" t="s">
        <v>100</v>
      </c>
      <c r="G188" t="s">
        <v>90</v>
      </c>
      <c r="H188" s="11">
        <v>0.375</v>
      </c>
      <c r="I188" s="11">
        <v>0.36805555555555558</v>
      </c>
      <c r="J188" s="11">
        <v>0.75</v>
      </c>
      <c r="K188" s="11">
        <v>0.74791666666666667</v>
      </c>
      <c r="L188" t="s">
        <v>9</v>
      </c>
      <c r="M188" s="5">
        <f>IF(OR(I188="",H188=""),"",MAX(0,ROUND((I188-H188-Parametros!$B$4)*1440,0)))</f>
        <v>0</v>
      </c>
      <c r="N188" t="str">
        <f t="shared" si="2"/>
        <v>Sin novedad</v>
      </c>
      <c r="O188" t="s">
        <v>124</v>
      </c>
    </row>
    <row r="189" spans="1:15" x14ac:dyDescent="0.3">
      <c r="A189" s="13">
        <v>46069</v>
      </c>
      <c r="B189" t="s">
        <v>120</v>
      </c>
      <c r="C189" t="s">
        <v>44</v>
      </c>
      <c r="D189" t="s">
        <v>45</v>
      </c>
      <c r="E189" t="s">
        <v>25</v>
      </c>
      <c r="F189" t="s">
        <v>101</v>
      </c>
      <c r="G189" t="s">
        <v>90</v>
      </c>
      <c r="H189" s="11">
        <v>0.375</v>
      </c>
      <c r="I189" s="11">
        <v>0.37569444444444439</v>
      </c>
      <c r="J189" s="11">
        <v>0.75</v>
      </c>
      <c r="K189" s="11">
        <v>0.76666666666666672</v>
      </c>
      <c r="L189" t="s">
        <v>9</v>
      </c>
      <c r="M189" s="5">
        <f>IF(OR(I189="",H189=""),"",MAX(0,ROUND((I189-H189-Parametros!$B$4)*1440,0)))</f>
        <v>0</v>
      </c>
      <c r="N189" t="str">
        <f t="shared" si="2"/>
        <v>Sin novedad</v>
      </c>
      <c r="O189" t="s">
        <v>123</v>
      </c>
    </row>
    <row r="190" spans="1:15" x14ac:dyDescent="0.3">
      <c r="A190" s="13">
        <v>46069</v>
      </c>
      <c r="B190" t="s">
        <v>120</v>
      </c>
      <c r="C190" t="s">
        <v>46</v>
      </c>
      <c r="D190" t="s">
        <v>47</v>
      </c>
      <c r="E190" t="s">
        <v>22</v>
      </c>
      <c r="F190" t="s">
        <v>102</v>
      </c>
      <c r="G190" t="s">
        <v>90</v>
      </c>
      <c r="H190" s="11">
        <v>0.375</v>
      </c>
      <c r="I190" s="11"/>
      <c r="J190" s="11">
        <v>0.75</v>
      </c>
      <c r="K190" s="11"/>
      <c r="L190" t="s">
        <v>16</v>
      </c>
      <c r="M190" s="5" t="str">
        <f>IF(OR(I190="",H190=""),"",MAX(0,ROUND((I190-H190-Parametros!$B$4)*1440,0)))</f>
        <v/>
      </c>
      <c r="N190" t="str">
        <f t="shared" si="2"/>
        <v>Vacaciones</v>
      </c>
      <c r="O190" t="s">
        <v>134</v>
      </c>
    </row>
    <row r="191" spans="1:15" x14ac:dyDescent="0.3">
      <c r="A191" s="13">
        <v>46069</v>
      </c>
      <c r="B191" t="s">
        <v>120</v>
      </c>
      <c r="C191" t="s">
        <v>48</v>
      </c>
      <c r="D191" t="s">
        <v>49</v>
      </c>
      <c r="E191" t="s">
        <v>21</v>
      </c>
      <c r="F191" t="s">
        <v>103</v>
      </c>
      <c r="G191" t="s">
        <v>104</v>
      </c>
      <c r="H191" s="11">
        <v>0.375</v>
      </c>
      <c r="I191" s="11">
        <v>0.36875000000000002</v>
      </c>
      <c r="J191" s="11">
        <v>0.75</v>
      </c>
      <c r="K191" s="11">
        <v>0.75902777777777775</v>
      </c>
      <c r="L191" t="s">
        <v>9</v>
      </c>
      <c r="M191" s="5">
        <f>IF(OR(I191="",H191=""),"",MAX(0,ROUND((I191-H191-Parametros!$B$4)*1440,0)))</f>
        <v>0</v>
      </c>
      <c r="N191" t="str">
        <f t="shared" si="2"/>
        <v>Sin novedad</v>
      </c>
      <c r="O191" t="s">
        <v>123</v>
      </c>
    </row>
    <row r="192" spans="1:15" x14ac:dyDescent="0.3">
      <c r="A192" s="13">
        <v>46069</v>
      </c>
      <c r="B192" t="s">
        <v>120</v>
      </c>
      <c r="C192" t="s">
        <v>50</v>
      </c>
      <c r="D192" t="s">
        <v>51</v>
      </c>
      <c r="E192" t="s">
        <v>23</v>
      </c>
      <c r="F192" t="s">
        <v>105</v>
      </c>
      <c r="G192" t="s">
        <v>99</v>
      </c>
      <c r="H192" s="11">
        <v>0.375</v>
      </c>
      <c r="I192" s="11">
        <v>0.36388888888888887</v>
      </c>
      <c r="J192" s="11">
        <v>0.75</v>
      </c>
      <c r="K192" s="11">
        <v>0.7680555555555556</v>
      </c>
      <c r="L192" t="s">
        <v>9</v>
      </c>
      <c r="M192" s="5">
        <f>IF(OR(I192="",H192=""),"",MAX(0,ROUND((I192-H192-Parametros!$B$4)*1440,0)))</f>
        <v>0</v>
      </c>
      <c r="N192" t="str">
        <f t="shared" si="2"/>
        <v>Sin novedad</v>
      </c>
      <c r="O192" t="s">
        <v>124</v>
      </c>
    </row>
    <row r="193" spans="1:15" x14ac:dyDescent="0.3">
      <c r="A193" s="13">
        <v>46069</v>
      </c>
      <c r="B193" t="s">
        <v>120</v>
      </c>
      <c r="C193" t="s">
        <v>52</v>
      </c>
      <c r="D193" t="s">
        <v>53</v>
      </c>
      <c r="E193" t="s">
        <v>25</v>
      </c>
      <c r="F193" t="s">
        <v>106</v>
      </c>
      <c r="G193" t="s">
        <v>90</v>
      </c>
      <c r="H193" s="11">
        <v>0.375</v>
      </c>
      <c r="I193" s="11">
        <v>0.37569444444444439</v>
      </c>
      <c r="J193" s="11">
        <v>0.75</v>
      </c>
      <c r="K193" s="11">
        <v>0.75277777777777777</v>
      </c>
      <c r="L193" t="s">
        <v>9</v>
      </c>
      <c r="M193" s="5">
        <f>IF(OR(I193="",H193=""),"",MAX(0,ROUND((I193-H193-Parametros!$B$4)*1440,0)))</f>
        <v>0</v>
      </c>
      <c r="N193" t="str">
        <f t="shared" si="2"/>
        <v>Sin novedad</v>
      </c>
      <c r="O193" t="s">
        <v>124</v>
      </c>
    </row>
    <row r="194" spans="1:15" x14ac:dyDescent="0.3">
      <c r="A194" s="13">
        <v>46069</v>
      </c>
      <c r="B194" t="s">
        <v>120</v>
      </c>
      <c r="C194" t="s">
        <v>54</v>
      </c>
      <c r="D194" t="s">
        <v>55</v>
      </c>
      <c r="E194" t="s">
        <v>21</v>
      </c>
      <c r="F194" t="s">
        <v>107</v>
      </c>
      <c r="G194" t="s">
        <v>104</v>
      </c>
      <c r="H194" s="11">
        <v>0.375</v>
      </c>
      <c r="I194" s="11">
        <v>0.38055555555555548</v>
      </c>
      <c r="J194" s="11">
        <v>0.75</v>
      </c>
      <c r="K194" s="11">
        <v>0.76666666666666672</v>
      </c>
      <c r="L194" t="s">
        <v>9</v>
      </c>
      <c r="M194" s="5">
        <f>IF(OR(I194="",H194=""),"",MAX(0,ROUND((I194-H194-Parametros!$B$4)*1440,0)))</f>
        <v>0</v>
      </c>
      <c r="N194" t="str">
        <f t="shared" ref="N194:N257" si="3">IF(L194="Asistencia","Sin novedad",L194)</f>
        <v>Sin novedad</v>
      </c>
      <c r="O194" t="s">
        <v>125</v>
      </c>
    </row>
    <row r="195" spans="1:15" x14ac:dyDescent="0.3">
      <c r="A195" s="13">
        <v>46069</v>
      </c>
      <c r="B195" t="s">
        <v>120</v>
      </c>
      <c r="C195" t="s">
        <v>56</v>
      </c>
      <c r="D195" t="s">
        <v>57</v>
      </c>
      <c r="E195" t="s">
        <v>23</v>
      </c>
      <c r="F195" t="s">
        <v>108</v>
      </c>
      <c r="G195" t="s">
        <v>99</v>
      </c>
      <c r="H195" s="11">
        <v>0.375</v>
      </c>
      <c r="I195" s="11">
        <v>0.37708333333333333</v>
      </c>
      <c r="J195" s="11">
        <v>0.75</v>
      </c>
      <c r="K195" s="11">
        <v>0.75347222222222221</v>
      </c>
      <c r="L195" t="s">
        <v>9</v>
      </c>
      <c r="M195" s="5">
        <f>IF(OR(I195="",H195=""),"",MAX(0,ROUND((I195-H195-Parametros!$B$4)*1440,0)))</f>
        <v>0</v>
      </c>
      <c r="N195" t="str">
        <f t="shared" si="3"/>
        <v>Sin novedad</v>
      </c>
      <c r="O195" t="s">
        <v>125</v>
      </c>
    </row>
    <row r="196" spans="1:15" x14ac:dyDescent="0.3">
      <c r="A196" s="13">
        <v>46069</v>
      </c>
      <c r="B196" t="s">
        <v>120</v>
      </c>
      <c r="C196" t="s">
        <v>58</v>
      </c>
      <c r="D196" t="s">
        <v>59</v>
      </c>
      <c r="E196" t="s">
        <v>22</v>
      </c>
      <c r="F196" t="s">
        <v>109</v>
      </c>
      <c r="G196" t="s">
        <v>90</v>
      </c>
      <c r="H196" s="11">
        <v>0.375</v>
      </c>
      <c r="I196" s="11">
        <v>0.37291666666666667</v>
      </c>
      <c r="J196" s="11">
        <v>0.75</v>
      </c>
      <c r="K196" s="11">
        <v>0.76458333333333328</v>
      </c>
      <c r="L196" t="s">
        <v>9</v>
      </c>
      <c r="M196" s="5">
        <f>IF(OR(I196="",H196=""),"",MAX(0,ROUND((I196-H196-Parametros!$B$4)*1440,0)))</f>
        <v>0</v>
      </c>
      <c r="N196" t="str">
        <f t="shared" si="3"/>
        <v>Sin novedad</v>
      </c>
      <c r="O196" t="s">
        <v>125</v>
      </c>
    </row>
    <row r="197" spans="1:15" x14ac:dyDescent="0.3">
      <c r="A197" s="13">
        <v>46069</v>
      </c>
      <c r="B197" t="s">
        <v>120</v>
      </c>
      <c r="C197" t="s">
        <v>60</v>
      </c>
      <c r="D197" t="s">
        <v>61</v>
      </c>
      <c r="E197" t="s">
        <v>24</v>
      </c>
      <c r="F197" t="s">
        <v>110</v>
      </c>
      <c r="G197" t="s">
        <v>90</v>
      </c>
      <c r="H197" s="11">
        <v>0.375</v>
      </c>
      <c r="I197" s="11">
        <v>0.375</v>
      </c>
      <c r="J197" s="11">
        <v>0.75</v>
      </c>
      <c r="K197" s="11">
        <v>0.76041666666666663</v>
      </c>
      <c r="L197" t="s">
        <v>9</v>
      </c>
      <c r="M197" s="5">
        <f>IF(OR(I197="",H197=""),"",MAX(0,ROUND((I197-H197-Parametros!$B$4)*1440,0)))</f>
        <v>0</v>
      </c>
      <c r="N197" t="str">
        <f t="shared" si="3"/>
        <v>Sin novedad</v>
      </c>
      <c r="O197" t="s">
        <v>125</v>
      </c>
    </row>
    <row r="198" spans="1:15" x14ac:dyDescent="0.3">
      <c r="A198" s="13">
        <v>46069</v>
      </c>
      <c r="B198" t="s">
        <v>120</v>
      </c>
      <c r="C198" t="s">
        <v>62</v>
      </c>
      <c r="D198" t="s">
        <v>63</v>
      </c>
      <c r="E198" t="s">
        <v>21</v>
      </c>
      <c r="F198" t="s">
        <v>111</v>
      </c>
      <c r="G198" t="s">
        <v>104</v>
      </c>
      <c r="H198" s="11">
        <v>0.375</v>
      </c>
      <c r="I198" s="11">
        <v>0.37291666666666667</v>
      </c>
      <c r="J198" s="11">
        <v>0.75</v>
      </c>
      <c r="K198" s="11">
        <v>0.75694444444444442</v>
      </c>
      <c r="L198" t="s">
        <v>9</v>
      </c>
      <c r="M198" s="5">
        <f>IF(OR(I198="",H198=""),"",MAX(0,ROUND((I198-H198-Parametros!$B$4)*1440,0)))</f>
        <v>0</v>
      </c>
      <c r="N198" t="str">
        <f t="shared" si="3"/>
        <v>Sin novedad</v>
      </c>
      <c r="O198" t="s">
        <v>123</v>
      </c>
    </row>
    <row r="199" spans="1:15" x14ac:dyDescent="0.3">
      <c r="A199" s="13">
        <v>46069</v>
      </c>
      <c r="B199" t="s">
        <v>120</v>
      </c>
      <c r="C199" t="s">
        <v>64</v>
      </c>
      <c r="D199" t="s">
        <v>65</v>
      </c>
      <c r="E199" t="s">
        <v>25</v>
      </c>
      <c r="F199" t="s">
        <v>112</v>
      </c>
      <c r="G199" t="s">
        <v>90</v>
      </c>
      <c r="H199" s="11">
        <v>0.375</v>
      </c>
      <c r="I199" s="11">
        <v>0.38124999999999998</v>
      </c>
      <c r="J199" s="11">
        <v>0.75</v>
      </c>
      <c r="K199" s="11">
        <v>0.74861111111111112</v>
      </c>
      <c r="L199" t="s">
        <v>9</v>
      </c>
      <c r="M199" s="5">
        <f>IF(OR(I199="",H199=""),"",MAX(0,ROUND((I199-H199-Parametros!$B$4)*1440,0)))</f>
        <v>0</v>
      </c>
      <c r="N199" t="str">
        <f t="shared" si="3"/>
        <v>Sin novedad</v>
      </c>
      <c r="O199" t="s">
        <v>123</v>
      </c>
    </row>
    <row r="200" spans="1:15" x14ac:dyDescent="0.3">
      <c r="A200" s="13">
        <v>46070</v>
      </c>
      <c r="B200" t="s">
        <v>126</v>
      </c>
      <c r="C200" t="s">
        <v>30</v>
      </c>
      <c r="D200" t="s">
        <v>31</v>
      </c>
      <c r="E200" t="s">
        <v>24</v>
      </c>
      <c r="F200" t="s">
        <v>89</v>
      </c>
      <c r="G200" t="s">
        <v>90</v>
      </c>
      <c r="H200" s="11">
        <v>0.375</v>
      </c>
      <c r="I200" s="11">
        <v>0.37708333333333333</v>
      </c>
      <c r="J200" s="11">
        <v>0.75</v>
      </c>
      <c r="K200" s="11">
        <v>0.75902777777777775</v>
      </c>
      <c r="L200" t="s">
        <v>9</v>
      </c>
      <c r="M200" s="5">
        <f>IF(OR(I200="",H200=""),"",MAX(0,ROUND((I200-H200-Parametros!$B$4)*1440,0)))</f>
        <v>0</v>
      </c>
      <c r="N200" t="str">
        <f t="shared" si="3"/>
        <v>Sin novedad</v>
      </c>
      <c r="O200" t="s">
        <v>125</v>
      </c>
    </row>
    <row r="201" spans="1:15" x14ac:dyDescent="0.3">
      <c r="A201" s="13">
        <v>46070</v>
      </c>
      <c r="B201" t="s">
        <v>126</v>
      </c>
      <c r="C201" t="s">
        <v>32</v>
      </c>
      <c r="D201" t="s">
        <v>33</v>
      </c>
      <c r="E201" t="s">
        <v>23</v>
      </c>
      <c r="F201" t="s">
        <v>92</v>
      </c>
      <c r="G201" t="s">
        <v>90</v>
      </c>
      <c r="H201" s="11">
        <v>0.375</v>
      </c>
      <c r="I201" s="11"/>
      <c r="J201" s="11">
        <v>0.75</v>
      </c>
      <c r="K201" s="11"/>
      <c r="L201" t="s">
        <v>15</v>
      </c>
      <c r="M201" s="5" t="str">
        <f>IF(OR(I201="",H201=""),"",MAX(0,ROUND((I201-H201-Parametros!$B$4)*1440,0)))</f>
        <v/>
      </c>
      <c r="N201" t="str">
        <f t="shared" si="3"/>
        <v>Permiso</v>
      </c>
      <c r="O201" t="s">
        <v>136</v>
      </c>
    </row>
    <row r="202" spans="1:15" x14ac:dyDescent="0.3">
      <c r="A202" s="13">
        <v>46070</v>
      </c>
      <c r="B202" t="s">
        <v>126</v>
      </c>
      <c r="C202" t="s">
        <v>34</v>
      </c>
      <c r="D202" t="s">
        <v>35</v>
      </c>
      <c r="E202" t="s">
        <v>22</v>
      </c>
      <c r="F202" t="s">
        <v>94</v>
      </c>
      <c r="G202" t="s">
        <v>90</v>
      </c>
      <c r="H202" s="11">
        <v>0.375</v>
      </c>
      <c r="I202" s="11">
        <v>0.37916666666666671</v>
      </c>
      <c r="J202" s="11">
        <v>0.75</v>
      </c>
      <c r="K202" s="11">
        <v>0.75902777777777775</v>
      </c>
      <c r="L202" t="s">
        <v>9</v>
      </c>
      <c r="M202" s="5">
        <f>IF(OR(I202="",H202=""),"",MAX(0,ROUND((I202-H202-Parametros!$B$4)*1440,0)))</f>
        <v>0</v>
      </c>
      <c r="N202" t="str">
        <f t="shared" si="3"/>
        <v>Sin novedad</v>
      </c>
      <c r="O202" t="s">
        <v>125</v>
      </c>
    </row>
    <row r="203" spans="1:15" x14ac:dyDescent="0.3">
      <c r="A203" s="13">
        <v>46070</v>
      </c>
      <c r="B203" t="s">
        <v>126</v>
      </c>
      <c r="C203" t="s">
        <v>36</v>
      </c>
      <c r="D203" t="s">
        <v>37</v>
      </c>
      <c r="E203" t="s">
        <v>25</v>
      </c>
      <c r="F203" t="s">
        <v>95</v>
      </c>
      <c r="G203" t="s">
        <v>90</v>
      </c>
      <c r="H203" s="11">
        <v>0.375</v>
      </c>
      <c r="I203" s="11">
        <v>0.40625</v>
      </c>
      <c r="J203" s="11">
        <v>0.75</v>
      </c>
      <c r="K203" s="11">
        <v>0.76458333333333328</v>
      </c>
      <c r="L203" t="s">
        <v>11</v>
      </c>
      <c r="M203" s="5">
        <f>IF(OR(I203="",H203=""),"",MAX(0,ROUND((I203-H203-Parametros!$B$4)*1440,0)))</f>
        <v>35</v>
      </c>
      <c r="N203" t="str">
        <f t="shared" si="3"/>
        <v>Tardanza</v>
      </c>
      <c r="O203" t="s">
        <v>129</v>
      </c>
    </row>
    <row r="204" spans="1:15" x14ac:dyDescent="0.3">
      <c r="A204" s="13">
        <v>46070</v>
      </c>
      <c r="B204" t="s">
        <v>126</v>
      </c>
      <c r="C204" t="s">
        <v>38</v>
      </c>
      <c r="D204" t="s">
        <v>39</v>
      </c>
      <c r="E204" t="s">
        <v>21</v>
      </c>
      <c r="F204" t="s">
        <v>97</v>
      </c>
      <c r="G204" t="s">
        <v>90</v>
      </c>
      <c r="H204" s="11">
        <v>0.375</v>
      </c>
      <c r="I204" s="11">
        <v>0.37569444444444439</v>
      </c>
      <c r="J204" s="11">
        <v>0.75</v>
      </c>
      <c r="K204" s="11">
        <v>0.7631944444444444</v>
      </c>
      <c r="L204" t="s">
        <v>9</v>
      </c>
      <c r="M204" s="5">
        <f>IF(OR(I204="",H204=""),"",MAX(0,ROUND((I204-H204-Parametros!$B$4)*1440,0)))</f>
        <v>0</v>
      </c>
      <c r="N204" t="str">
        <f t="shared" si="3"/>
        <v>Sin novedad</v>
      </c>
      <c r="O204" t="s">
        <v>125</v>
      </c>
    </row>
    <row r="205" spans="1:15" x14ac:dyDescent="0.3">
      <c r="A205" s="13">
        <v>46070</v>
      </c>
      <c r="B205" t="s">
        <v>126</v>
      </c>
      <c r="C205" t="s">
        <v>40</v>
      </c>
      <c r="D205" t="s">
        <v>41</v>
      </c>
      <c r="E205" t="s">
        <v>23</v>
      </c>
      <c r="F205" t="s">
        <v>98</v>
      </c>
      <c r="G205" t="s">
        <v>99</v>
      </c>
      <c r="H205" s="11">
        <v>0.375</v>
      </c>
      <c r="I205" s="11">
        <v>0.39444444444444438</v>
      </c>
      <c r="J205" s="11">
        <v>0.75</v>
      </c>
      <c r="K205" s="11">
        <v>0.76875000000000004</v>
      </c>
      <c r="L205" t="s">
        <v>11</v>
      </c>
      <c r="M205" s="5">
        <f>IF(OR(I205="",H205=""),"",MAX(0,ROUND((I205-H205-Parametros!$B$4)*1440,0)))</f>
        <v>18</v>
      </c>
      <c r="N205" t="str">
        <f t="shared" si="3"/>
        <v>Tardanza</v>
      </c>
      <c r="O205" t="s">
        <v>121</v>
      </c>
    </row>
    <row r="206" spans="1:15" x14ac:dyDescent="0.3">
      <c r="A206" s="13">
        <v>46070</v>
      </c>
      <c r="B206" t="s">
        <v>126</v>
      </c>
      <c r="C206" t="s">
        <v>42</v>
      </c>
      <c r="D206" t="s">
        <v>43</v>
      </c>
      <c r="E206" t="s">
        <v>24</v>
      </c>
      <c r="F206" t="s">
        <v>100</v>
      </c>
      <c r="G206" t="s">
        <v>90</v>
      </c>
      <c r="H206" s="11">
        <v>0.375</v>
      </c>
      <c r="I206" s="11">
        <v>0.37777777777777782</v>
      </c>
      <c r="J206" s="11">
        <v>0.75</v>
      </c>
      <c r="K206" s="11">
        <v>0.7631944444444444</v>
      </c>
      <c r="L206" t="s">
        <v>9</v>
      </c>
      <c r="M206" s="5">
        <f>IF(OR(I206="",H206=""),"",MAX(0,ROUND((I206-H206-Parametros!$B$4)*1440,0)))</f>
        <v>0</v>
      </c>
      <c r="N206" t="str">
        <f t="shared" si="3"/>
        <v>Sin novedad</v>
      </c>
      <c r="O206" t="s">
        <v>124</v>
      </c>
    </row>
    <row r="207" spans="1:15" x14ac:dyDescent="0.3">
      <c r="A207" s="13">
        <v>46070</v>
      </c>
      <c r="B207" t="s">
        <v>126</v>
      </c>
      <c r="C207" t="s">
        <v>44</v>
      </c>
      <c r="D207" t="s">
        <v>45</v>
      </c>
      <c r="E207" t="s">
        <v>25</v>
      </c>
      <c r="F207" t="s">
        <v>101</v>
      </c>
      <c r="G207" t="s">
        <v>90</v>
      </c>
      <c r="H207" s="11">
        <v>0.375</v>
      </c>
      <c r="I207" s="11"/>
      <c r="J207" s="11">
        <v>0.75</v>
      </c>
      <c r="K207" s="11"/>
      <c r="L207" t="s">
        <v>15</v>
      </c>
      <c r="M207" s="5" t="str">
        <f>IF(OR(I207="",H207=""),"",MAX(0,ROUND((I207-H207-Parametros!$B$4)*1440,0)))</f>
        <v/>
      </c>
      <c r="N207" t="str">
        <f t="shared" si="3"/>
        <v>Permiso</v>
      </c>
      <c r="O207" t="s">
        <v>133</v>
      </c>
    </row>
    <row r="208" spans="1:15" x14ac:dyDescent="0.3">
      <c r="A208" s="13">
        <v>46070</v>
      </c>
      <c r="B208" t="s">
        <v>126</v>
      </c>
      <c r="C208" t="s">
        <v>46</v>
      </c>
      <c r="D208" t="s">
        <v>47</v>
      </c>
      <c r="E208" t="s">
        <v>22</v>
      </c>
      <c r="F208" t="s">
        <v>102</v>
      </c>
      <c r="G208" t="s">
        <v>90</v>
      </c>
      <c r="H208" s="11">
        <v>0.375</v>
      </c>
      <c r="I208" s="11"/>
      <c r="J208" s="11">
        <v>0.75</v>
      </c>
      <c r="K208" s="11"/>
      <c r="L208" t="s">
        <v>16</v>
      </c>
      <c r="M208" s="5" t="str">
        <f>IF(OR(I208="",H208=""),"",MAX(0,ROUND((I208-H208-Parametros!$B$4)*1440,0)))</f>
        <v/>
      </c>
      <c r="N208" t="str">
        <f t="shared" si="3"/>
        <v>Vacaciones</v>
      </c>
      <c r="O208" t="s">
        <v>134</v>
      </c>
    </row>
    <row r="209" spans="1:15" x14ac:dyDescent="0.3">
      <c r="A209" s="13">
        <v>46070</v>
      </c>
      <c r="B209" t="s">
        <v>126</v>
      </c>
      <c r="C209" t="s">
        <v>48</v>
      </c>
      <c r="D209" t="s">
        <v>49</v>
      </c>
      <c r="E209" t="s">
        <v>21</v>
      </c>
      <c r="F209" t="s">
        <v>103</v>
      </c>
      <c r="G209" t="s">
        <v>104</v>
      </c>
      <c r="H209" s="11">
        <v>0.375</v>
      </c>
      <c r="I209" s="11">
        <v>0.3659722222222222</v>
      </c>
      <c r="J209" s="11">
        <v>0.75</v>
      </c>
      <c r="K209" s="11">
        <v>0.75486111111111109</v>
      </c>
      <c r="L209" t="s">
        <v>9</v>
      </c>
      <c r="M209" s="5">
        <f>IF(OR(I209="",H209=""),"",MAX(0,ROUND((I209-H209-Parametros!$B$4)*1440,0)))</f>
        <v>0</v>
      </c>
      <c r="N209" t="str">
        <f t="shared" si="3"/>
        <v>Sin novedad</v>
      </c>
      <c r="O209" t="s">
        <v>125</v>
      </c>
    </row>
    <row r="210" spans="1:15" x14ac:dyDescent="0.3">
      <c r="A210" s="13">
        <v>46070</v>
      </c>
      <c r="B210" t="s">
        <v>126</v>
      </c>
      <c r="C210" t="s">
        <v>50</v>
      </c>
      <c r="D210" t="s">
        <v>51</v>
      </c>
      <c r="E210" t="s">
        <v>23</v>
      </c>
      <c r="F210" t="s">
        <v>105</v>
      </c>
      <c r="G210" t="s">
        <v>99</v>
      </c>
      <c r="H210" s="11">
        <v>0.375</v>
      </c>
      <c r="I210" s="11"/>
      <c r="J210" s="11">
        <v>0.75</v>
      </c>
      <c r="K210" s="11"/>
      <c r="L210" t="s">
        <v>13</v>
      </c>
      <c r="M210" s="5" t="str">
        <f>IF(OR(I210="",H210=""),"",MAX(0,ROUND((I210-H210-Parametros!$B$4)*1440,0)))</f>
        <v/>
      </c>
      <c r="N210" t="str">
        <f t="shared" si="3"/>
        <v>Falta</v>
      </c>
      <c r="O210" t="s">
        <v>132</v>
      </c>
    </row>
    <row r="211" spans="1:15" x14ac:dyDescent="0.3">
      <c r="A211" s="13">
        <v>46070</v>
      </c>
      <c r="B211" t="s">
        <v>126</v>
      </c>
      <c r="C211" t="s">
        <v>52</v>
      </c>
      <c r="D211" t="s">
        <v>53</v>
      </c>
      <c r="E211" t="s">
        <v>25</v>
      </c>
      <c r="F211" t="s">
        <v>106</v>
      </c>
      <c r="G211" t="s">
        <v>90</v>
      </c>
      <c r="H211" s="11">
        <v>0.375</v>
      </c>
      <c r="I211" s="11">
        <v>0.36458333333333331</v>
      </c>
      <c r="J211" s="11">
        <v>0.75</v>
      </c>
      <c r="K211" s="11">
        <v>0.76180555555555551</v>
      </c>
      <c r="L211" t="s">
        <v>9</v>
      </c>
      <c r="M211" s="5">
        <f>IF(OR(I211="",H211=""),"",MAX(0,ROUND((I211-H211-Parametros!$B$4)*1440,0)))</f>
        <v>0</v>
      </c>
      <c r="N211" t="str">
        <f t="shared" si="3"/>
        <v>Sin novedad</v>
      </c>
      <c r="O211" t="s">
        <v>124</v>
      </c>
    </row>
    <row r="212" spans="1:15" x14ac:dyDescent="0.3">
      <c r="A212" s="13">
        <v>46070</v>
      </c>
      <c r="B212" t="s">
        <v>126</v>
      </c>
      <c r="C212" t="s">
        <v>54</v>
      </c>
      <c r="D212" t="s">
        <v>55</v>
      </c>
      <c r="E212" t="s">
        <v>21</v>
      </c>
      <c r="F212" t="s">
        <v>107</v>
      </c>
      <c r="G212" t="s">
        <v>104</v>
      </c>
      <c r="H212" s="11">
        <v>0.375</v>
      </c>
      <c r="I212" s="11">
        <v>0.37777777777777782</v>
      </c>
      <c r="J212" s="11">
        <v>0.75</v>
      </c>
      <c r="K212" s="11">
        <v>0.75416666666666665</v>
      </c>
      <c r="L212" t="s">
        <v>9</v>
      </c>
      <c r="M212" s="5">
        <f>IF(OR(I212="",H212=""),"",MAX(0,ROUND((I212-H212-Parametros!$B$4)*1440,0)))</f>
        <v>0</v>
      </c>
      <c r="N212" t="str">
        <f t="shared" si="3"/>
        <v>Sin novedad</v>
      </c>
      <c r="O212" t="s">
        <v>125</v>
      </c>
    </row>
    <row r="213" spans="1:15" x14ac:dyDescent="0.3">
      <c r="A213" s="13">
        <v>46070</v>
      </c>
      <c r="B213" t="s">
        <v>126</v>
      </c>
      <c r="C213" t="s">
        <v>56</v>
      </c>
      <c r="D213" t="s">
        <v>57</v>
      </c>
      <c r="E213" t="s">
        <v>23</v>
      </c>
      <c r="F213" t="s">
        <v>108</v>
      </c>
      <c r="G213" t="s">
        <v>99</v>
      </c>
      <c r="H213" s="11">
        <v>0.375</v>
      </c>
      <c r="I213" s="11">
        <v>0.37291666666666667</v>
      </c>
      <c r="J213" s="11">
        <v>0.75</v>
      </c>
      <c r="K213" s="11">
        <v>0.76249999999999996</v>
      </c>
      <c r="L213" t="s">
        <v>9</v>
      </c>
      <c r="M213" s="5">
        <f>IF(OR(I213="",H213=""),"",MAX(0,ROUND((I213-H213-Parametros!$B$4)*1440,0)))</f>
        <v>0</v>
      </c>
      <c r="N213" t="str">
        <f t="shared" si="3"/>
        <v>Sin novedad</v>
      </c>
      <c r="O213" t="s">
        <v>124</v>
      </c>
    </row>
    <row r="214" spans="1:15" x14ac:dyDescent="0.3">
      <c r="A214" s="13">
        <v>46070</v>
      </c>
      <c r="B214" t="s">
        <v>126</v>
      </c>
      <c r="C214" t="s">
        <v>58</v>
      </c>
      <c r="D214" t="s">
        <v>59</v>
      </c>
      <c r="E214" t="s">
        <v>22</v>
      </c>
      <c r="F214" t="s">
        <v>109</v>
      </c>
      <c r="G214" t="s">
        <v>90</v>
      </c>
      <c r="H214" s="11">
        <v>0.375</v>
      </c>
      <c r="I214" s="11">
        <v>0.36666666666666659</v>
      </c>
      <c r="J214" s="11">
        <v>0.75</v>
      </c>
      <c r="K214" s="11">
        <v>0.7680555555555556</v>
      </c>
      <c r="L214" t="s">
        <v>9</v>
      </c>
      <c r="M214" s="5">
        <f>IF(OR(I214="",H214=""),"",MAX(0,ROUND((I214-H214-Parametros!$B$4)*1440,0)))</f>
        <v>0</v>
      </c>
      <c r="N214" t="str">
        <f t="shared" si="3"/>
        <v>Sin novedad</v>
      </c>
      <c r="O214" t="s">
        <v>125</v>
      </c>
    </row>
    <row r="215" spans="1:15" x14ac:dyDescent="0.3">
      <c r="A215" s="13">
        <v>46070</v>
      </c>
      <c r="B215" t="s">
        <v>126</v>
      </c>
      <c r="C215" t="s">
        <v>60</v>
      </c>
      <c r="D215" t="s">
        <v>61</v>
      </c>
      <c r="E215" t="s">
        <v>24</v>
      </c>
      <c r="F215" t="s">
        <v>110</v>
      </c>
      <c r="G215" t="s">
        <v>90</v>
      </c>
      <c r="H215" s="11">
        <v>0.375</v>
      </c>
      <c r="I215" s="11">
        <v>0.36388888888888887</v>
      </c>
      <c r="J215" s="11">
        <v>0.75</v>
      </c>
      <c r="K215" s="11">
        <v>0.75347222222222221</v>
      </c>
      <c r="L215" t="s">
        <v>9</v>
      </c>
      <c r="M215" s="5">
        <f>IF(OR(I215="",H215=""),"",MAX(0,ROUND((I215-H215-Parametros!$B$4)*1440,0)))</f>
        <v>0</v>
      </c>
      <c r="N215" t="str">
        <f t="shared" si="3"/>
        <v>Sin novedad</v>
      </c>
      <c r="O215" t="s">
        <v>123</v>
      </c>
    </row>
    <row r="216" spans="1:15" x14ac:dyDescent="0.3">
      <c r="A216" s="13">
        <v>46070</v>
      </c>
      <c r="B216" t="s">
        <v>126</v>
      </c>
      <c r="C216" t="s">
        <v>62</v>
      </c>
      <c r="D216" t="s">
        <v>63</v>
      </c>
      <c r="E216" t="s">
        <v>21</v>
      </c>
      <c r="F216" t="s">
        <v>111</v>
      </c>
      <c r="G216" t="s">
        <v>104</v>
      </c>
      <c r="H216" s="11">
        <v>0.375</v>
      </c>
      <c r="I216" s="11">
        <v>0.36805555555555558</v>
      </c>
      <c r="J216" s="11">
        <v>0.75</v>
      </c>
      <c r="K216" s="11">
        <v>0.7416666666666667</v>
      </c>
      <c r="L216" t="s">
        <v>9</v>
      </c>
      <c r="M216" s="5">
        <f>IF(OR(I216="",H216=""),"",MAX(0,ROUND((I216-H216-Parametros!$B$4)*1440,0)))</f>
        <v>0</v>
      </c>
      <c r="N216" t="str">
        <f t="shared" si="3"/>
        <v>Sin novedad</v>
      </c>
      <c r="O216" t="s">
        <v>123</v>
      </c>
    </row>
    <row r="217" spans="1:15" x14ac:dyDescent="0.3">
      <c r="A217" s="13">
        <v>46070</v>
      </c>
      <c r="B217" t="s">
        <v>126</v>
      </c>
      <c r="C217" t="s">
        <v>64</v>
      </c>
      <c r="D217" t="s">
        <v>65</v>
      </c>
      <c r="E217" t="s">
        <v>25</v>
      </c>
      <c r="F217" t="s">
        <v>112</v>
      </c>
      <c r="G217" t="s">
        <v>90</v>
      </c>
      <c r="H217" s="11">
        <v>0.375</v>
      </c>
      <c r="I217" s="11">
        <v>0.375</v>
      </c>
      <c r="J217" s="11">
        <v>0.75</v>
      </c>
      <c r="K217" s="11">
        <v>0.7631944444444444</v>
      </c>
      <c r="L217" t="s">
        <v>9</v>
      </c>
      <c r="M217" s="5">
        <f>IF(OR(I217="",H217=""),"",MAX(0,ROUND((I217-H217-Parametros!$B$4)*1440,0)))</f>
        <v>0</v>
      </c>
      <c r="N217" t="str">
        <f t="shared" si="3"/>
        <v>Sin novedad</v>
      </c>
      <c r="O217" t="s">
        <v>124</v>
      </c>
    </row>
    <row r="218" spans="1:15" x14ac:dyDescent="0.3">
      <c r="A218" s="13">
        <v>46071</v>
      </c>
      <c r="B218" t="s">
        <v>127</v>
      </c>
      <c r="C218" t="s">
        <v>30</v>
      </c>
      <c r="D218" t="s">
        <v>31</v>
      </c>
      <c r="E218" t="s">
        <v>24</v>
      </c>
      <c r="F218" t="s">
        <v>89</v>
      </c>
      <c r="G218" t="s">
        <v>90</v>
      </c>
      <c r="H218" s="11">
        <v>0.375</v>
      </c>
      <c r="I218" s="11">
        <v>0.36944444444444452</v>
      </c>
      <c r="J218" s="11">
        <v>0.75</v>
      </c>
      <c r="K218" s="11">
        <v>0.76597222222222228</v>
      </c>
      <c r="L218" t="s">
        <v>9</v>
      </c>
      <c r="M218" s="5">
        <f>IF(OR(I218="",H218=""),"",MAX(0,ROUND((I218-H218-Parametros!$B$4)*1440,0)))</f>
        <v>0</v>
      </c>
      <c r="N218" t="str">
        <f t="shared" si="3"/>
        <v>Sin novedad</v>
      </c>
      <c r="O218" t="s">
        <v>125</v>
      </c>
    </row>
    <row r="219" spans="1:15" x14ac:dyDescent="0.3">
      <c r="A219" s="13">
        <v>46071</v>
      </c>
      <c r="B219" t="s">
        <v>127</v>
      </c>
      <c r="C219" t="s">
        <v>32</v>
      </c>
      <c r="D219" t="s">
        <v>33</v>
      </c>
      <c r="E219" t="s">
        <v>23</v>
      </c>
      <c r="F219" t="s">
        <v>92</v>
      </c>
      <c r="G219" t="s">
        <v>90</v>
      </c>
      <c r="H219" s="11">
        <v>0.375</v>
      </c>
      <c r="I219" s="11">
        <v>0.38124999999999998</v>
      </c>
      <c r="J219" s="11">
        <v>0.75</v>
      </c>
      <c r="K219" s="11">
        <v>0.75</v>
      </c>
      <c r="L219" t="s">
        <v>9</v>
      </c>
      <c r="M219" s="5">
        <f>IF(OR(I219="",H219=""),"",MAX(0,ROUND((I219-H219-Parametros!$B$4)*1440,0)))</f>
        <v>0</v>
      </c>
      <c r="N219" t="str">
        <f t="shared" si="3"/>
        <v>Sin novedad</v>
      </c>
      <c r="O219" t="s">
        <v>125</v>
      </c>
    </row>
    <row r="220" spans="1:15" x14ac:dyDescent="0.3">
      <c r="A220" s="13">
        <v>46071</v>
      </c>
      <c r="B220" t="s">
        <v>127</v>
      </c>
      <c r="C220" t="s">
        <v>34</v>
      </c>
      <c r="D220" t="s">
        <v>35</v>
      </c>
      <c r="E220" t="s">
        <v>22</v>
      </c>
      <c r="F220" t="s">
        <v>94</v>
      </c>
      <c r="G220" t="s">
        <v>90</v>
      </c>
      <c r="H220" s="11">
        <v>0.375</v>
      </c>
      <c r="I220" s="11">
        <v>0.38124999999999998</v>
      </c>
      <c r="J220" s="11">
        <v>0.75</v>
      </c>
      <c r="K220" s="11">
        <v>0.75972222222222219</v>
      </c>
      <c r="L220" t="s">
        <v>9</v>
      </c>
      <c r="M220" s="5">
        <f>IF(OR(I220="",H220=""),"",MAX(0,ROUND((I220-H220-Parametros!$B$4)*1440,0)))</f>
        <v>0</v>
      </c>
      <c r="N220" t="str">
        <f t="shared" si="3"/>
        <v>Sin novedad</v>
      </c>
      <c r="O220" t="s">
        <v>124</v>
      </c>
    </row>
    <row r="221" spans="1:15" x14ac:dyDescent="0.3">
      <c r="A221" s="13">
        <v>46071</v>
      </c>
      <c r="B221" t="s">
        <v>127</v>
      </c>
      <c r="C221" t="s">
        <v>36</v>
      </c>
      <c r="D221" t="s">
        <v>37</v>
      </c>
      <c r="E221" t="s">
        <v>25</v>
      </c>
      <c r="F221" t="s">
        <v>95</v>
      </c>
      <c r="G221" t="s">
        <v>90</v>
      </c>
      <c r="H221" s="11">
        <v>0.375</v>
      </c>
      <c r="I221" s="11">
        <v>0.37986111111111109</v>
      </c>
      <c r="J221" s="11">
        <v>0.75</v>
      </c>
      <c r="K221" s="11">
        <v>0.7583333333333333</v>
      </c>
      <c r="L221" t="s">
        <v>9</v>
      </c>
      <c r="M221" s="5">
        <f>IF(OR(I221="",H221=""),"",MAX(0,ROUND((I221-H221-Parametros!$B$4)*1440,0)))</f>
        <v>0</v>
      </c>
      <c r="N221" t="str">
        <f t="shared" si="3"/>
        <v>Sin novedad</v>
      </c>
      <c r="O221" t="s">
        <v>123</v>
      </c>
    </row>
    <row r="222" spans="1:15" x14ac:dyDescent="0.3">
      <c r="A222" s="13">
        <v>46071</v>
      </c>
      <c r="B222" t="s">
        <v>127</v>
      </c>
      <c r="C222" t="s">
        <v>38</v>
      </c>
      <c r="D222" t="s">
        <v>39</v>
      </c>
      <c r="E222" t="s">
        <v>21</v>
      </c>
      <c r="F222" t="s">
        <v>97</v>
      </c>
      <c r="G222" t="s">
        <v>90</v>
      </c>
      <c r="H222" s="11">
        <v>0.375</v>
      </c>
      <c r="I222" s="11">
        <v>0.37638888888888888</v>
      </c>
      <c r="J222" s="11">
        <v>0.75</v>
      </c>
      <c r="K222" s="11">
        <v>0.74791666666666667</v>
      </c>
      <c r="L222" t="s">
        <v>9</v>
      </c>
      <c r="M222" s="5">
        <f>IF(OR(I222="",H222=""),"",MAX(0,ROUND((I222-H222-Parametros!$B$4)*1440,0)))</f>
        <v>0</v>
      </c>
      <c r="N222" t="str">
        <f t="shared" si="3"/>
        <v>Sin novedad</v>
      </c>
      <c r="O222" t="s">
        <v>123</v>
      </c>
    </row>
    <row r="223" spans="1:15" x14ac:dyDescent="0.3">
      <c r="A223" s="13">
        <v>46071</v>
      </c>
      <c r="B223" t="s">
        <v>127</v>
      </c>
      <c r="C223" t="s">
        <v>40</v>
      </c>
      <c r="D223" t="s">
        <v>41</v>
      </c>
      <c r="E223" t="s">
        <v>23</v>
      </c>
      <c r="F223" t="s">
        <v>98</v>
      </c>
      <c r="G223" t="s">
        <v>99</v>
      </c>
      <c r="H223" s="11">
        <v>0.375</v>
      </c>
      <c r="I223" s="11">
        <v>0.40833333333333333</v>
      </c>
      <c r="J223" s="11">
        <v>0.75</v>
      </c>
      <c r="K223" s="11">
        <v>0.75902777777777775</v>
      </c>
      <c r="L223" t="s">
        <v>11</v>
      </c>
      <c r="M223" s="5">
        <f>IF(OR(I223="",H223=""),"",MAX(0,ROUND((I223-H223-Parametros!$B$4)*1440,0)))</f>
        <v>38</v>
      </c>
      <c r="N223" t="str">
        <f t="shared" si="3"/>
        <v>Tardanza</v>
      </c>
      <c r="O223" t="s">
        <v>121</v>
      </c>
    </row>
    <row r="224" spans="1:15" x14ac:dyDescent="0.3">
      <c r="A224" s="13">
        <v>46071</v>
      </c>
      <c r="B224" t="s">
        <v>127</v>
      </c>
      <c r="C224" t="s">
        <v>42</v>
      </c>
      <c r="D224" t="s">
        <v>43</v>
      </c>
      <c r="E224" t="s">
        <v>24</v>
      </c>
      <c r="F224" t="s">
        <v>100</v>
      </c>
      <c r="G224" t="s">
        <v>90</v>
      </c>
      <c r="H224" s="11">
        <v>0.375</v>
      </c>
      <c r="I224" s="11">
        <v>0.37361111111111112</v>
      </c>
      <c r="J224" s="11">
        <v>0.75</v>
      </c>
      <c r="K224" s="11">
        <v>0.76180555555555551</v>
      </c>
      <c r="L224" t="s">
        <v>9</v>
      </c>
      <c r="M224" s="5">
        <f>IF(OR(I224="",H224=""),"",MAX(0,ROUND((I224-H224-Parametros!$B$4)*1440,0)))</f>
        <v>0</v>
      </c>
      <c r="N224" t="str">
        <f t="shared" si="3"/>
        <v>Sin novedad</v>
      </c>
      <c r="O224" t="s">
        <v>124</v>
      </c>
    </row>
    <row r="225" spans="1:15" x14ac:dyDescent="0.3">
      <c r="A225" s="13">
        <v>46071</v>
      </c>
      <c r="B225" t="s">
        <v>127</v>
      </c>
      <c r="C225" t="s">
        <v>44</v>
      </c>
      <c r="D225" t="s">
        <v>45</v>
      </c>
      <c r="E225" t="s">
        <v>25</v>
      </c>
      <c r="F225" t="s">
        <v>101</v>
      </c>
      <c r="G225" t="s">
        <v>90</v>
      </c>
      <c r="H225" s="11">
        <v>0.375</v>
      </c>
      <c r="I225" s="11">
        <v>0.37638888888888888</v>
      </c>
      <c r="J225" s="11">
        <v>0.75</v>
      </c>
      <c r="K225" s="11">
        <v>0.74791666666666667</v>
      </c>
      <c r="L225" t="s">
        <v>9</v>
      </c>
      <c r="M225" s="5">
        <f>IF(OR(I225="",H225=""),"",MAX(0,ROUND((I225-H225-Parametros!$B$4)*1440,0)))</f>
        <v>0</v>
      </c>
      <c r="N225" t="str">
        <f t="shared" si="3"/>
        <v>Sin novedad</v>
      </c>
      <c r="O225" t="s">
        <v>124</v>
      </c>
    </row>
    <row r="226" spans="1:15" x14ac:dyDescent="0.3">
      <c r="A226" s="13">
        <v>46071</v>
      </c>
      <c r="B226" t="s">
        <v>127</v>
      </c>
      <c r="C226" t="s">
        <v>46</v>
      </c>
      <c r="D226" t="s">
        <v>47</v>
      </c>
      <c r="E226" t="s">
        <v>22</v>
      </c>
      <c r="F226" t="s">
        <v>102</v>
      </c>
      <c r="G226" t="s">
        <v>90</v>
      </c>
      <c r="H226" s="11">
        <v>0.375</v>
      </c>
      <c r="I226" s="11"/>
      <c r="J226" s="11">
        <v>0.75</v>
      </c>
      <c r="K226" s="11"/>
      <c r="L226" t="s">
        <v>16</v>
      </c>
      <c r="M226" s="5" t="str">
        <f>IF(OR(I226="",H226=""),"",MAX(0,ROUND((I226-H226-Parametros!$B$4)*1440,0)))</f>
        <v/>
      </c>
      <c r="N226" t="str">
        <f t="shared" si="3"/>
        <v>Vacaciones</v>
      </c>
      <c r="O226" t="s">
        <v>134</v>
      </c>
    </row>
    <row r="227" spans="1:15" x14ac:dyDescent="0.3">
      <c r="A227" s="13">
        <v>46071</v>
      </c>
      <c r="B227" t="s">
        <v>127</v>
      </c>
      <c r="C227" t="s">
        <v>48</v>
      </c>
      <c r="D227" t="s">
        <v>49</v>
      </c>
      <c r="E227" t="s">
        <v>21</v>
      </c>
      <c r="F227" t="s">
        <v>103</v>
      </c>
      <c r="G227" t="s">
        <v>104</v>
      </c>
      <c r="H227" s="11">
        <v>0.375</v>
      </c>
      <c r="I227" s="11">
        <v>0.36944444444444452</v>
      </c>
      <c r="J227" s="11">
        <v>0.75</v>
      </c>
      <c r="K227" s="11">
        <v>0.76875000000000004</v>
      </c>
      <c r="L227" t="s">
        <v>9</v>
      </c>
      <c r="M227" s="5">
        <f>IF(OR(I227="",H227=""),"",MAX(0,ROUND((I227-H227-Parametros!$B$4)*1440,0)))</f>
        <v>0</v>
      </c>
      <c r="N227" t="str">
        <f t="shared" si="3"/>
        <v>Sin novedad</v>
      </c>
      <c r="O227" t="s">
        <v>125</v>
      </c>
    </row>
    <row r="228" spans="1:15" x14ac:dyDescent="0.3">
      <c r="A228" s="13">
        <v>46071</v>
      </c>
      <c r="B228" t="s">
        <v>127</v>
      </c>
      <c r="C228" t="s">
        <v>50</v>
      </c>
      <c r="D228" t="s">
        <v>51</v>
      </c>
      <c r="E228" t="s">
        <v>23</v>
      </c>
      <c r="F228" t="s">
        <v>105</v>
      </c>
      <c r="G228" t="s">
        <v>99</v>
      </c>
      <c r="H228" s="11">
        <v>0.375</v>
      </c>
      <c r="I228" s="11">
        <v>0.3972222222222222</v>
      </c>
      <c r="J228" s="11">
        <v>0.75</v>
      </c>
      <c r="K228" s="11">
        <v>0.77430555555555558</v>
      </c>
      <c r="L228" t="s">
        <v>11</v>
      </c>
      <c r="M228" s="5">
        <f>IF(OR(I228="",H228=""),"",MAX(0,ROUND((I228-H228-Parametros!$B$4)*1440,0)))</f>
        <v>22</v>
      </c>
      <c r="N228" t="str">
        <f t="shared" si="3"/>
        <v>Tardanza</v>
      </c>
      <c r="O228" t="s">
        <v>122</v>
      </c>
    </row>
    <row r="229" spans="1:15" x14ac:dyDescent="0.3">
      <c r="A229" s="13">
        <v>46071</v>
      </c>
      <c r="B229" t="s">
        <v>127</v>
      </c>
      <c r="C229" t="s">
        <v>52</v>
      </c>
      <c r="D229" t="s">
        <v>53</v>
      </c>
      <c r="E229" t="s">
        <v>25</v>
      </c>
      <c r="F229" t="s">
        <v>106</v>
      </c>
      <c r="G229" t="s">
        <v>90</v>
      </c>
      <c r="H229" s="11">
        <v>0.375</v>
      </c>
      <c r="I229" s="11">
        <v>0.37777777777777782</v>
      </c>
      <c r="J229" s="11">
        <v>0.75</v>
      </c>
      <c r="K229" s="11">
        <v>0.7631944444444444</v>
      </c>
      <c r="L229" t="s">
        <v>9</v>
      </c>
      <c r="M229" s="5">
        <f>IF(OR(I229="",H229=""),"",MAX(0,ROUND((I229-H229-Parametros!$B$4)*1440,0)))</f>
        <v>0</v>
      </c>
      <c r="N229" t="str">
        <f t="shared" si="3"/>
        <v>Sin novedad</v>
      </c>
      <c r="O229" t="s">
        <v>125</v>
      </c>
    </row>
    <row r="230" spans="1:15" x14ac:dyDescent="0.3">
      <c r="A230" s="13">
        <v>46071</v>
      </c>
      <c r="B230" t="s">
        <v>127</v>
      </c>
      <c r="C230" t="s">
        <v>54</v>
      </c>
      <c r="D230" t="s">
        <v>55</v>
      </c>
      <c r="E230" t="s">
        <v>21</v>
      </c>
      <c r="F230" t="s">
        <v>107</v>
      </c>
      <c r="G230" t="s">
        <v>104</v>
      </c>
      <c r="H230" s="11">
        <v>0.375</v>
      </c>
      <c r="I230" s="11"/>
      <c r="J230" s="11">
        <v>0.75</v>
      </c>
      <c r="K230" s="11"/>
      <c r="L230" t="s">
        <v>15</v>
      </c>
      <c r="M230" s="5" t="str">
        <f>IF(OR(I230="",H230=""),"",MAX(0,ROUND((I230-H230-Parametros!$B$4)*1440,0)))</f>
        <v/>
      </c>
      <c r="N230" t="str">
        <f t="shared" si="3"/>
        <v>Permiso</v>
      </c>
      <c r="O230" t="s">
        <v>136</v>
      </c>
    </row>
    <row r="231" spans="1:15" x14ac:dyDescent="0.3">
      <c r="A231" s="13">
        <v>46071</v>
      </c>
      <c r="B231" t="s">
        <v>127</v>
      </c>
      <c r="C231" t="s">
        <v>56</v>
      </c>
      <c r="D231" t="s">
        <v>57</v>
      </c>
      <c r="E231" t="s">
        <v>23</v>
      </c>
      <c r="F231" t="s">
        <v>108</v>
      </c>
      <c r="G231" t="s">
        <v>99</v>
      </c>
      <c r="H231" s="11">
        <v>0.375</v>
      </c>
      <c r="I231" s="11">
        <v>0.36875000000000002</v>
      </c>
      <c r="J231" s="11">
        <v>0.75</v>
      </c>
      <c r="K231" s="11">
        <v>0.75138888888888888</v>
      </c>
      <c r="L231" t="s">
        <v>9</v>
      </c>
      <c r="M231" s="5">
        <f>IF(OR(I231="",H231=""),"",MAX(0,ROUND((I231-H231-Parametros!$B$4)*1440,0)))</f>
        <v>0</v>
      </c>
      <c r="N231" t="str">
        <f t="shared" si="3"/>
        <v>Sin novedad</v>
      </c>
      <c r="O231" t="s">
        <v>125</v>
      </c>
    </row>
    <row r="232" spans="1:15" x14ac:dyDescent="0.3">
      <c r="A232" s="13">
        <v>46071</v>
      </c>
      <c r="B232" t="s">
        <v>127</v>
      </c>
      <c r="C232" t="s">
        <v>58</v>
      </c>
      <c r="D232" t="s">
        <v>59</v>
      </c>
      <c r="E232" t="s">
        <v>22</v>
      </c>
      <c r="F232" t="s">
        <v>109</v>
      </c>
      <c r="G232" t="s">
        <v>90</v>
      </c>
      <c r="H232" s="11">
        <v>0.375</v>
      </c>
      <c r="I232" s="11">
        <v>0.37916666666666671</v>
      </c>
      <c r="J232" s="11">
        <v>0.75</v>
      </c>
      <c r="K232" s="11">
        <v>0.76944444444444449</v>
      </c>
      <c r="L232" t="s">
        <v>9</v>
      </c>
      <c r="M232" s="5">
        <f>IF(OR(I232="",H232=""),"",MAX(0,ROUND((I232-H232-Parametros!$B$4)*1440,0)))</f>
        <v>0</v>
      </c>
      <c r="N232" t="str">
        <f t="shared" si="3"/>
        <v>Sin novedad</v>
      </c>
      <c r="O232" t="s">
        <v>125</v>
      </c>
    </row>
    <row r="233" spans="1:15" x14ac:dyDescent="0.3">
      <c r="A233" s="13">
        <v>46071</v>
      </c>
      <c r="B233" t="s">
        <v>127</v>
      </c>
      <c r="C233" t="s">
        <v>60</v>
      </c>
      <c r="D233" t="s">
        <v>61</v>
      </c>
      <c r="E233" t="s">
        <v>24</v>
      </c>
      <c r="F233" t="s">
        <v>110</v>
      </c>
      <c r="G233" t="s">
        <v>90</v>
      </c>
      <c r="H233" s="11">
        <v>0.375</v>
      </c>
      <c r="I233" s="11">
        <v>0.37777777777777782</v>
      </c>
      <c r="J233" s="11">
        <v>0.75</v>
      </c>
      <c r="K233" s="11">
        <v>0.75486111111111109</v>
      </c>
      <c r="L233" t="s">
        <v>9</v>
      </c>
      <c r="M233" s="5">
        <f>IF(OR(I233="",H233=""),"",MAX(0,ROUND((I233-H233-Parametros!$B$4)*1440,0)))</f>
        <v>0</v>
      </c>
      <c r="N233" t="str">
        <f t="shared" si="3"/>
        <v>Sin novedad</v>
      </c>
      <c r="O233" t="s">
        <v>124</v>
      </c>
    </row>
    <row r="234" spans="1:15" x14ac:dyDescent="0.3">
      <c r="A234" s="13">
        <v>46071</v>
      </c>
      <c r="B234" t="s">
        <v>127</v>
      </c>
      <c r="C234" t="s">
        <v>62</v>
      </c>
      <c r="D234" t="s">
        <v>63</v>
      </c>
      <c r="E234" t="s">
        <v>21</v>
      </c>
      <c r="F234" t="s">
        <v>111</v>
      </c>
      <c r="G234" t="s">
        <v>104</v>
      </c>
      <c r="H234" s="11">
        <v>0.375</v>
      </c>
      <c r="I234" s="11">
        <v>0.36875000000000002</v>
      </c>
      <c r="J234" s="11">
        <v>0.75</v>
      </c>
      <c r="K234" s="11">
        <v>0.75694444444444442</v>
      </c>
      <c r="L234" t="s">
        <v>9</v>
      </c>
      <c r="M234" s="5">
        <f>IF(OR(I234="",H234=""),"",MAX(0,ROUND((I234-H234-Parametros!$B$4)*1440,0)))</f>
        <v>0</v>
      </c>
      <c r="N234" t="str">
        <f t="shared" si="3"/>
        <v>Sin novedad</v>
      </c>
      <c r="O234" t="s">
        <v>123</v>
      </c>
    </row>
    <row r="235" spans="1:15" x14ac:dyDescent="0.3">
      <c r="A235" s="13">
        <v>46071</v>
      </c>
      <c r="B235" t="s">
        <v>127</v>
      </c>
      <c r="C235" t="s">
        <v>64</v>
      </c>
      <c r="D235" t="s">
        <v>65</v>
      </c>
      <c r="E235" t="s">
        <v>25</v>
      </c>
      <c r="F235" t="s">
        <v>112</v>
      </c>
      <c r="G235" t="s">
        <v>90</v>
      </c>
      <c r="H235" s="11">
        <v>0.375</v>
      </c>
      <c r="I235" s="11">
        <v>0.37152777777777779</v>
      </c>
      <c r="J235" s="11">
        <v>0.75</v>
      </c>
      <c r="K235" s="11">
        <v>0.76666666666666672</v>
      </c>
      <c r="L235" t="s">
        <v>9</v>
      </c>
      <c r="M235" s="5">
        <f>IF(OR(I235="",H235=""),"",MAX(0,ROUND((I235-H235-Parametros!$B$4)*1440,0)))</f>
        <v>0</v>
      </c>
      <c r="N235" t="str">
        <f t="shared" si="3"/>
        <v>Sin novedad</v>
      </c>
      <c r="O235" t="s">
        <v>125</v>
      </c>
    </row>
    <row r="236" spans="1:15" x14ac:dyDescent="0.3">
      <c r="A236" s="13">
        <v>46072</v>
      </c>
      <c r="B236" t="s">
        <v>130</v>
      </c>
      <c r="C236" t="s">
        <v>30</v>
      </c>
      <c r="D236" t="s">
        <v>31</v>
      </c>
      <c r="E236" t="s">
        <v>24</v>
      </c>
      <c r="F236" t="s">
        <v>89</v>
      </c>
      <c r="G236" t="s">
        <v>90</v>
      </c>
      <c r="H236" s="11">
        <v>0.375</v>
      </c>
      <c r="I236" s="11">
        <v>0.36388888888888887</v>
      </c>
      <c r="J236" s="11">
        <v>0.75</v>
      </c>
      <c r="K236" s="11">
        <v>0.76875000000000004</v>
      </c>
      <c r="L236" t="s">
        <v>9</v>
      </c>
      <c r="M236" s="5">
        <f>IF(OR(I236="",H236=""),"",MAX(0,ROUND((I236-H236-Parametros!$B$4)*1440,0)))</f>
        <v>0</v>
      </c>
      <c r="N236" t="str">
        <f t="shared" si="3"/>
        <v>Sin novedad</v>
      </c>
      <c r="O236" t="s">
        <v>123</v>
      </c>
    </row>
    <row r="237" spans="1:15" x14ac:dyDescent="0.3">
      <c r="A237" s="13">
        <v>46072</v>
      </c>
      <c r="B237" t="s">
        <v>130</v>
      </c>
      <c r="C237" t="s">
        <v>32</v>
      </c>
      <c r="D237" t="s">
        <v>33</v>
      </c>
      <c r="E237" t="s">
        <v>23</v>
      </c>
      <c r="F237" t="s">
        <v>92</v>
      </c>
      <c r="G237" t="s">
        <v>90</v>
      </c>
      <c r="H237" s="11">
        <v>0.375</v>
      </c>
      <c r="I237" s="11">
        <v>0.375</v>
      </c>
      <c r="J237" s="11">
        <v>0.75</v>
      </c>
      <c r="K237" s="11">
        <v>0.74791666666666667</v>
      </c>
      <c r="L237" t="s">
        <v>9</v>
      </c>
      <c r="M237" s="5">
        <f>IF(OR(I237="",H237=""),"",MAX(0,ROUND((I237-H237-Parametros!$B$4)*1440,0)))</f>
        <v>0</v>
      </c>
      <c r="N237" t="str">
        <f t="shared" si="3"/>
        <v>Sin novedad</v>
      </c>
      <c r="O237" t="s">
        <v>124</v>
      </c>
    </row>
    <row r="238" spans="1:15" x14ac:dyDescent="0.3">
      <c r="A238" s="13">
        <v>46072</v>
      </c>
      <c r="B238" t="s">
        <v>130</v>
      </c>
      <c r="C238" t="s">
        <v>34</v>
      </c>
      <c r="D238" t="s">
        <v>35</v>
      </c>
      <c r="E238" t="s">
        <v>22</v>
      </c>
      <c r="F238" t="s">
        <v>94</v>
      </c>
      <c r="G238" t="s">
        <v>90</v>
      </c>
      <c r="H238" s="11">
        <v>0.375</v>
      </c>
      <c r="I238" s="11">
        <v>0.36805555555555558</v>
      </c>
      <c r="J238" s="11">
        <v>0.75</v>
      </c>
      <c r="K238" s="11">
        <v>0.7416666666666667</v>
      </c>
      <c r="L238" t="s">
        <v>9</v>
      </c>
      <c r="M238" s="5">
        <f>IF(OR(I238="",H238=""),"",MAX(0,ROUND((I238-H238-Parametros!$B$4)*1440,0)))</f>
        <v>0</v>
      </c>
      <c r="N238" t="str">
        <f t="shared" si="3"/>
        <v>Sin novedad</v>
      </c>
      <c r="O238" t="s">
        <v>123</v>
      </c>
    </row>
    <row r="239" spans="1:15" x14ac:dyDescent="0.3">
      <c r="A239" s="13">
        <v>46072</v>
      </c>
      <c r="B239" t="s">
        <v>130</v>
      </c>
      <c r="C239" t="s">
        <v>36</v>
      </c>
      <c r="D239" t="s">
        <v>37</v>
      </c>
      <c r="E239" t="s">
        <v>25</v>
      </c>
      <c r="F239" t="s">
        <v>95</v>
      </c>
      <c r="G239" t="s">
        <v>90</v>
      </c>
      <c r="H239" s="11">
        <v>0.375</v>
      </c>
      <c r="I239" s="11">
        <v>0.3659722222222222</v>
      </c>
      <c r="J239" s="11">
        <v>0.75</v>
      </c>
      <c r="K239" s="11">
        <v>0.74444444444444446</v>
      </c>
      <c r="L239" t="s">
        <v>9</v>
      </c>
      <c r="M239" s="5">
        <f>IF(OR(I239="",H239=""),"",MAX(0,ROUND((I239-H239-Parametros!$B$4)*1440,0)))</f>
        <v>0</v>
      </c>
      <c r="N239" t="str">
        <f t="shared" si="3"/>
        <v>Sin novedad</v>
      </c>
      <c r="O239" t="s">
        <v>123</v>
      </c>
    </row>
    <row r="240" spans="1:15" x14ac:dyDescent="0.3">
      <c r="A240" s="13">
        <v>46072</v>
      </c>
      <c r="B240" t="s">
        <v>130</v>
      </c>
      <c r="C240" t="s">
        <v>38</v>
      </c>
      <c r="D240" t="s">
        <v>39</v>
      </c>
      <c r="E240" t="s">
        <v>21</v>
      </c>
      <c r="F240" t="s">
        <v>97</v>
      </c>
      <c r="G240" t="s">
        <v>90</v>
      </c>
      <c r="H240" s="11">
        <v>0.375</v>
      </c>
      <c r="I240" s="11">
        <v>0.36875000000000002</v>
      </c>
      <c r="J240" s="11">
        <v>0.75</v>
      </c>
      <c r="K240" s="11">
        <v>0.76944444444444449</v>
      </c>
      <c r="L240" t="s">
        <v>9</v>
      </c>
      <c r="M240" s="5">
        <f>IF(OR(I240="",H240=""),"",MAX(0,ROUND((I240-H240-Parametros!$B$4)*1440,0)))</f>
        <v>0</v>
      </c>
      <c r="N240" t="str">
        <f t="shared" si="3"/>
        <v>Sin novedad</v>
      </c>
      <c r="O240" t="s">
        <v>123</v>
      </c>
    </row>
    <row r="241" spans="1:15" x14ac:dyDescent="0.3">
      <c r="A241" s="13">
        <v>46072</v>
      </c>
      <c r="B241" t="s">
        <v>130</v>
      </c>
      <c r="C241" t="s">
        <v>40</v>
      </c>
      <c r="D241" t="s">
        <v>41</v>
      </c>
      <c r="E241" t="s">
        <v>23</v>
      </c>
      <c r="F241" t="s">
        <v>98</v>
      </c>
      <c r="G241" t="s">
        <v>99</v>
      </c>
      <c r="H241" s="11">
        <v>0.375</v>
      </c>
      <c r="I241" s="11">
        <v>0.36875000000000002</v>
      </c>
      <c r="J241" s="11">
        <v>0.75</v>
      </c>
      <c r="K241" s="11">
        <v>0.75</v>
      </c>
      <c r="L241" t="s">
        <v>9</v>
      </c>
      <c r="M241" s="5">
        <f>IF(OR(I241="",H241=""),"",MAX(0,ROUND((I241-H241-Parametros!$B$4)*1440,0)))</f>
        <v>0</v>
      </c>
      <c r="N241" t="str">
        <f t="shared" si="3"/>
        <v>Sin novedad</v>
      </c>
      <c r="O241" t="s">
        <v>123</v>
      </c>
    </row>
    <row r="242" spans="1:15" x14ac:dyDescent="0.3">
      <c r="A242" s="13">
        <v>46072</v>
      </c>
      <c r="B242" t="s">
        <v>130</v>
      </c>
      <c r="C242" t="s">
        <v>42</v>
      </c>
      <c r="D242" t="s">
        <v>43</v>
      </c>
      <c r="E242" t="s">
        <v>24</v>
      </c>
      <c r="F242" t="s">
        <v>100</v>
      </c>
      <c r="G242" t="s">
        <v>90</v>
      </c>
      <c r="H242" s="11">
        <v>0.375</v>
      </c>
      <c r="I242" s="11">
        <v>0.37083333333333329</v>
      </c>
      <c r="J242" s="11">
        <v>0.75</v>
      </c>
      <c r="K242" s="11">
        <v>0.76666666666666672</v>
      </c>
      <c r="L242" t="s">
        <v>9</v>
      </c>
      <c r="M242" s="5">
        <f>IF(OR(I242="",H242=""),"",MAX(0,ROUND((I242-H242-Parametros!$B$4)*1440,0)))</f>
        <v>0</v>
      </c>
      <c r="N242" t="str">
        <f t="shared" si="3"/>
        <v>Sin novedad</v>
      </c>
      <c r="O242" t="s">
        <v>123</v>
      </c>
    </row>
    <row r="243" spans="1:15" x14ac:dyDescent="0.3">
      <c r="A243" s="13">
        <v>46072</v>
      </c>
      <c r="B243" t="s">
        <v>130</v>
      </c>
      <c r="C243" t="s">
        <v>44</v>
      </c>
      <c r="D243" t="s">
        <v>45</v>
      </c>
      <c r="E243" t="s">
        <v>25</v>
      </c>
      <c r="F243" t="s">
        <v>101</v>
      </c>
      <c r="G243" t="s">
        <v>90</v>
      </c>
      <c r="H243" s="11">
        <v>0.375</v>
      </c>
      <c r="I243" s="11">
        <v>0.36875000000000002</v>
      </c>
      <c r="J243" s="11">
        <v>0.75</v>
      </c>
      <c r="K243" s="11">
        <v>0.74236111111111114</v>
      </c>
      <c r="L243" t="s">
        <v>9</v>
      </c>
      <c r="M243" s="5">
        <f>IF(OR(I243="",H243=""),"",MAX(0,ROUND((I243-H243-Parametros!$B$4)*1440,0)))</f>
        <v>0</v>
      </c>
      <c r="N243" t="str">
        <f t="shared" si="3"/>
        <v>Sin novedad</v>
      </c>
      <c r="O243" t="s">
        <v>125</v>
      </c>
    </row>
    <row r="244" spans="1:15" x14ac:dyDescent="0.3">
      <c r="A244" s="13">
        <v>46072</v>
      </c>
      <c r="B244" t="s">
        <v>130</v>
      </c>
      <c r="C244" t="s">
        <v>46</v>
      </c>
      <c r="D244" t="s">
        <v>47</v>
      </c>
      <c r="E244" t="s">
        <v>22</v>
      </c>
      <c r="F244" t="s">
        <v>102</v>
      </c>
      <c r="G244" t="s">
        <v>90</v>
      </c>
      <c r="H244" s="11">
        <v>0.375</v>
      </c>
      <c r="I244" s="11"/>
      <c r="J244" s="11">
        <v>0.75</v>
      </c>
      <c r="K244" s="11"/>
      <c r="L244" t="s">
        <v>16</v>
      </c>
      <c r="M244" s="5" t="str">
        <f>IF(OR(I244="",H244=""),"",MAX(0,ROUND((I244-H244-Parametros!$B$4)*1440,0)))</f>
        <v/>
      </c>
      <c r="N244" t="str">
        <f t="shared" si="3"/>
        <v>Vacaciones</v>
      </c>
      <c r="O244" t="s">
        <v>134</v>
      </c>
    </row>
    <row r="245" spans="1:15" x14ac:dyDescent="0.3">
      <c r="A245" s="13">
        <v>46072</v>
      </c>
      <c r="B245" t="s">
        <v>130</v>
      </c>
      <c r="C245" t="s">
        <v>48</v>
      </c>
      <c r="D245" t="s">
        <v>49</v>
      </c>
      <c r="E245" t="s">
        <v>21</v>
      </c>
      <c r="F245" t="s">
        <v>103</v>
      </c>
      <c r="G245" t="s">
        <v>104</v>
      </c>
      <c r="H245" s="11">
        <v>0.375</v>
      </c>
      <c r="I245" s="11">
        <v>0.38472222222222219</v>
      </c>
      <c r="J245" s="11">
        <v>0.75</v>
      </c>
      <c r="K245" s="11">
        <v>0.77083333333333337</v>
      </c>
      <c r="L245" t="s">
        <v>11</v>
      </c>
      <c r="M245" s="5">
        <f>IF(OR(I245="",H245=""),"",MAX(0,ROUND((I245-H245-Parametros!$B$4)*1440,0)))</f>
        <v>4</v>
      </c>
      <c r="N245" t="str">
        <f t="shared" si="3"/>
        <v>Tardanza</v>
      </c>
      <c r="O245" t="s">
        <v>122</v>
      </c>
    </row>
    <row r="246" spans="1:15" x14ac:dyDescent="0.3">
      <c r="A246" s="13">
        <v>46072</v>
      </c>
      <c r="B246" t="s">
        <v>130</v>
      </c>
      <c r="C246" t="s">
        <v>50</v>
      </c>
      <c r="D246" t="s">
        <v>51</v>
      </c>
      <c r="E246" t="s">
        <v>23</v>
      </c>
      <c r="F246" t="s">
        <v>105</v>
      </c>
      <c r="G246" t="s">
        <v>99</v>
      </c>
      <c r="H246" s="11">
        <v>0.375</v>
      </c>
      <c r="I246" s="11">
        <v>0.36875000000000002</v>
      </c>
      <c r="J246" s="11">
        <v>0.75</v>
      </c>
      <c r="K246" s="11">
        <v>0.75138888888888888</v>
      </c>
      <c r="L246" t="s">
        <v>9</v>
      </c>
      <c r="M246" s="5">
        <f>IF(OR(I246="",H246=""),"",MAX(0,ROUND((I246-H246-Parametros!$B$4)*1440,0)))</f>
        <v>0</v>
      </c>
      <c r="N246" t="str">
        <f t="shared" si="3"/>
        <v>Sin novedad</v>
      </c>
      <c r="O246" t="s">
        <v>125</v>
      </c>
    </row>
    <row r="247" spans="1:15" x14ac:dyDescent="0.3">
      <c r="A247" s="13">
        <v>46072</v>
      </c>
      <c r="B247" t="s">
        <v>130</v>
      </c>
      <c r="C247" t="s">
        <v>52</v>
      </c>
      <c r="D247" t="s">
        <v>53</v>
      </c>
      <c r="E247" t="s">
        <v>25</v>
      </c>
      <c r="F247" t="s">
        <v>106</v>
      </c>
      <c r="G247" t="s">
        <v>90</v>
      </c>
      <c r="H247" s="11">
        <v>0.375</v>
      </c>
      <c r="I247" s="11">
        <v>0.36666666666666659</v>
      </c>
      <c r="J247" s="11">
        <v>0.75</v>
      </c>
      <c r="K247" s="11">
        <v>0.76875000000000004</v>
      </c>
      <c r="L247" t="s">
        <v>9</v>
      </c>
      <c r="M247" s="5">
        <f>IF(OR(I247="",H247=""),"",MAX(0,ROUND((I247-H247-Parametros!$B$4)*1440,0)))</f>
        <v>0</v>
      </c>
      <c r="N247" t="str">
        <f t="shared" si="3"/>
        <v>Sin novedad</v>
      </c>
      <c r="O247" t="s">
        <v>123</v>
      </c>
    </row>
    <row r="248" spans="1:15" x14ac:dyDescent="0.3">
      <c r="A248" s="13">
        <v>46072</v>
      </c>
      <c r="B248" t="s">
        <v>130</v>
      </c>
      <c r="C248" t="s">
        <v>54</v>
      </c>
      <c r="D248" t="s">
        <v>55</v>
      </c>
      <c r="E248" t="s">
        <v>21</v>
      </c>
      <c r="F248" t="s">
        <v>107</v>
      </c>
      <c r="G248" t="s">
        <v>104</v>
      </c>
      <c r="H248" s="11">
        <v>0.375</v>
      </c>
      <c r="I248" s="11">
        <v>0.37708333333333333</v>
      </c>
      <c r="J248" s="11">
        <v>0.75</v>
      </c>
      <c r="K248" s="11">
        <v>0.74722222222222223</v>
      </c>
      <c r="L248" t="s">
        <v>9</v>
      </c>
      <c r="M248" s="5">
        <f>IF(OR(I248="",H248=""),"",MAX(0,ROUND((I248-H248-Parametros!$B$4)*1440,0)))</f>
        <v>0</v>
      </c>
      <c r="N248" t="str">
        <f t="shared" si="3"/>
        <v>Sin novedad</v>
      </c>
      <c r="O248" t="s">
        <v>125</v>
      </c>
    </row>
    <row r="249" spans="1:15" x14ac:dyDescent="0.3">
      <c r="A249" s="13">
        <v>46072</v>
      </c>
      <c r="B249" t="s">
        <v>130</v>
      </c>
      <c r="C249" t="s">
        <v>56</v>
      </c>
      <c r="D249" t="s">
        <v>57</v>
      </c>
      <c r="E249" t="s">
        <v>23</v>
      </c>
      <c r="F249" t="s">
        <v>108</v>
      </c>
      <c r="G249" t="s">
        <v>99</v>
      </c>
      <c r="H249" s="11">
        <v>0.375</v>
      </c>
      <c r="I249" s="11">
        <v>0.36319444444444438</v>
      </c>
      <c r="J249" s="11">
        <v>0.75</v>
      </c>
      <c r="K249" s="11">
        <v>0.75486111111111109</v>
      </c>
      <c r="L249" t="s">
        <v>9</v>
      </c>
      <c r="M249" s="5">
        <f>IF(OR(I249="",H249=""),"",MAX(0,ROUND((I249-H249-Parametros!$B$4)*1440,0)))</f>
        <v>0</v>
      </c>
      <c r="N249" t="str">
        <f t="shared" si="3"/>
        <v>Sin novedad</v>
      </c>
      <c r="O249" t="s">
        <v>123</v>
      </c>
    </row>
    <row r="250" spans="1:15" x14ac:dyDescent="0.3">
      <c r="A250" s="13">
        <v>46072</v>
      </c>
      <c r="B250" t="s">
        <v>130</v>
      </c>
      <c r="C250" t="s">
        <v>58</v>
      </c>
      <c r="D250" t="s">
        <v>59</v>
      </c>
      <c r="E250" t="s">
        <v>22</v>
      </c>
      <c r="F250" t="s">
        <v>109</v>
      </c>
      <c r="G250" t="s">
        <v>90</v>
      </c>
      <c r="H250" s="11">
        <v>0.375</v>
      </c>
      <c r="I250" s="11">
        <v>0.36527777777777781</v>
      </c>
      <c r="J250" s="11">
        <v>0.75</v>
      </c>
      <c r="K250" s="11">
        <v>0.74513888888888891</v>
      </c>
      <c r="L250" t="s">
        <v>9</v>
      </c>
      <c r="M250" s="5">
        <f>IF(OR(I250="",H250=""),"",MAX(0,ROUND((I250-H250-Parametros!$B$4)*1440,0)))</f>
        <v>0</v>
      </c>
      <c r="N250" t="str">
        <f t="shared" si="3"/>
        <v>Sin novedad</v>
      </c>
      <c r="O250" t="s">
        <v>123</v>
      </c>
    </row>
    <row r="251" spans="1:15" x14ac:dyDescent="0.3">
      <c r="A251" s="13">
        <v>46072</v>
      </c>
      <c r="B251" t="s">
        <v>130</v>
      </c>
      <c r="C251" t="s">
        <v>60</v>
      </c>
      <c r="D251" t="s">
        <v>61</v>
      </c>
      <c r="E251" t="s">
        <v>24</v>
      </c>
      <c r="F251" t="s">
        <v>110</v>
      </c>
      <c r="G251" t="s">
        <v>90</v>
      </c>
      <c r="H251" s="11">
        <v>0.375</v>
      </c>
      <c r="I251" s="11">
        <v>0.36666666666666659</v>
      </c>
      <c r="J251" s="11">
        <v>0.75</v>
      </c>
      <c r="K251" s="11">
        <v>0.74722222222222223</v>
      </c>
      <c r="L251" t="s">
        <v>9</v>
      </c>
      <c r="M251" s="5">
        <f>IF(OR(I251="",H251=""),"",MAX(0,ROUND((I251-H251-Parametros!$B$4)*1440,0)))</f>
        <v>0</v>
      </c>
      <c r="N251" t="str">
        <f t="shared" si="3"/>
        <v>Sin novedad</v>
      </c>
      <c r="O251" t="s">
        <v>125</v>
      </c>
    </row>
    <row r="252" spans="1:15" x14ac:dyDescent="0.3">
      <c r="A252" s="13">
        <v>46072</v>
      </c>
      <c r="B252" t="s">
        <v>130</v>
      </c>
      <c r="C252" t="s">
        <v>62</v>
      </c>
      <c r="D252" t="s">
        <v>63</v>
      </c>
      <c r="E252" t="s">
        <v>21</v>
      </c>
      <c r="F252" t="s">
        <v>111</v>
      </c>
      <c r="G252" t="s">
        <v>104</v>
      </c>
      <c r="H252" s="11">
        <v>0.375</v>
      </c>
      <c r="I252" s="11">
        <v>0.37361111111111112</v>
      </c>
      <c r="J252" s="11">
        <v>0.75</v>
      </c>
      <c r="K252" s="11">
        <v>0.75347222222222221</v>
      </c>
      <c r="L252" t="s">
        <v>9</v>
      </c>
      <c r="M252" s="5">
        <f>IF(OR(I252="",H252=""),"",MAX(0,ROUND((I252-H252-Parametros!$B$4)*1440,0)))</f>
        <v>0</v>
      </c>
      <c r="N252" t="str">
        <f t="shared" si="3"/>
        <v>Sin novedad</v>
      </c>
      <c r="O252" t="s">
        <v>124</v>
      </c>
    </row>
    <row r="253" spans="1:15" x14ac:dyDescent="0.3">
      <c r="A253" s="13">
        <v>46072</v>
      </c>
      <c r="B253" t="s">
        <v>130</v>
      </c>
      <c r="C253" t="s">
        <v>64</v>
      </c>
      <c r="D253" t="s">
        <v>65</v>
      </c>
      <c r="E253" t="s">
        <v>25</v>
      </c>
      <c r="F253" t="s">
        <v>112</v>
      </c>
      <c r="G253" t="s">
        <v>90</v>
      </c>
      <c r="H253" s="11">
        <v>0.375</v>
      </c>
      <c r="I253" s="11">
        <v>0.37291666666666667</v>
      </c>
      <c r="J253" s="11">
        <v>0.75</v>
      </c>
      <c r="K253" s="11">
        <v>0.75416666666666665</v>
      </c>
      <c r="L253" t="s">
        <v>9</v>
      </c>
      <c r="M253" s="5">
        <f>IF(OR(I253="",H253=""),"",MAX(0,ROUND((I253-H253-Parametros!$B$4)*1440,0)))</f>
        <v>0</v>
      </c>
      <c r="N253" t="str">
        <f t="shared" si="3"/>
        <v>Sin novedad</v>
      </c>
      <c r="O253" t="s">
        <v>125</v>
      </c>
    </row>
    <row r="254" spans="1:15" x14ac:dyDescent="0.3">
      <c r="A254" s="13">
        <v>46073</v>
      </c>
      <c r="B254" t="s">
        <v>131</v>
      </c>
      <c r="C254" t="s">
        <v>30</v>
      </c>
      <c r="D254" t="s">
        <v>31</v>
      </c>
      <c r="E254" t="s">
        <v>24</v>
      </c>
      <c r="F254" t="s">
        <v>89</v>
      </c>
      <c r="G254" t="s">
        <v>90</v>
      </c>
      <c r="H254" s="11">
        <v>0.375</v>
      </c>
      <c r="I254" s="11">
        <v>0.37222222222222218</v>
      </c>
      <c r="J254" s="11">
        <v>0.75</v>
      </c>
      <c r="K254" s="11">
        <v>0.74444444444444446</v>
      </c>
      <c r="L254" t="s">
        <v>9</v>
      </c>
      <c r="M254" s="5">
        <f>IF(OR(I254="",H254=""),"",MAX(0,ROUND((I254-H254-Parametros!$B$4)*1440,0)))</f>
        <v>0</v>
      </c>
      <c r="N254" t="str">
        <f t="shared" si="3"/>
        <v>Sin novedad</v>
      </c>
      <c r="O254" t="s">
        <v>124</v>
      </c>
    </row>
    <row r="255" spans="1:15" x14ac:dyDescent="0.3">
      <c r="A255" s="13">
        <v>46073</v>
      </c>
      <c r="B255" t="s">
        <v>131</v>
      </c>
      <c r="C255" t="s">
        <v>32</v>
      </c>
      <c r="D255" t="s">
        <v>33</v>
      </c>
      <c r="E255" t="s">
        <v>23</v>
      </c>
      <c r="F255" t="s">
        <v>92</v>
      </c>
      <c r="G255" t="s">
        <v>90</v>
      </c>
      <c r="H255" s="11">
        <v>0.375</v>
      </c>
      <c r="I255" s="11">
        <v>0.37708333333333333</v>
      </c>
      <c r="J255" s="11">
        <v>0.75</v>
      </c>
      <c r="K255" s="11">
        <v>0.75902777777777775</v>
      </c>
      <c r="L255" t="s">
        <v>9</v>
      </c>
      <c r="M255" s="5">
        <f>IF(OR(I255="",H255=""),"",MAX(0,ROUND((I255-H255-Parametros!$B$4)*1440,0)))</f>
        <v>0</v>
      </c>
      <c r="N255" t="str">
        <f t="shared" si="3"/>
        <v>Sin novedad</v>
      </c>
      <c r="O255" t="s">
        <v>125</v>
      </c>
    </row>
    <row r="256" spans="1:15" x14ac:dyDescent="0.3">
      <c r="A256" s="13">
        <v>46073</v>
      </c>
      <c r="B256" t="s">
        <v>131</v>
      </c>
      <c r="C256" t="s">
        <v>34</v>
      </c>
      <c r="D256" t="s">
        <v>35</v>
      </c>
      <c r="E256" t="s">
        <v>22</v>
      </c>
      <c r="F256" t="s">
        <v>94</v>
      </c>
      <c r="G256" t="s">
        <v>90</v>
      </c>
      <c r="H256" s="11">
        <v>0.375</v>
      </c>
      <c r="I256" s="11">
        <v>0.36249999999999999</v>
      </c>
      <c r="J256" s="11">
        <v>0.75</v>
      </c>
      <c r="K256" s="11">
        <v>0.75277777777777777</v>
      </c>
      <c r="L256" t="s">
        <v>9</v>
      </c>
      <c r="M256" s="5">
        <f>IF(OR(I256="",H256=""),"",MAX(0,ROUND((I256-H256-Parametros!$B$4)*1440,0)))</f>
        <v>0</v>
      </c>
      <c r="N256" t="str">
        <f t="shared" si="3"/>
        <v>Sin novedad</v>
      </c>
      <c r="O256" t="s">
        <v>125</v>
      </c>
    </row>
    <row r="257" spans="1:15" x14ac:dyDescent="0.3">
      <c r="A257" s="13">
        <v>46073</v>
      </c>
      <c r="B257" t="s">
        <v>131</v>
      </c>
      <c r="C257" t="s">
        <v>36</v>
      </c>
      <c r="D257" t="s">
        <v>37</v>
      </c>
      <c r="E257" t="s">
        <v>25</v>
      </c>
      <c r="F257" t="s">
        <v>95</v>
      </c>
      <c r="G257" t="s">
        <v>90</v>
      </c>
      <c r="H257" s="11">
        <v>0.375</v>
      </c>
      <c r="I257" s="11">
        <v>0.37847222222222221</v>
      </c>
      <c r="J257" s="11">
        <v>0.75</v>
      </c>
      <c r="K257" s="11">
        <v>0.75277777777777777</v>
      </c>
      <c r="L257" t="s">
        <v>9</v>
      </c>
      <c r="M257" s="5">
        <f>IF(OR(I257="",H257=""),"",MAX(0,ROUND((I257-H257-Parametros!$B$4)*1440,0)))</f>
        <v>0</v>
      </c>
      <c r="N257" t="str">
        <f t="shared" si="3"/>
        <v>Sin novedad</v>
      </c>
      <c r="O257" t="s">
        <v>125</v>
      </c>
    </row>
    <row r="258" spans="1:15" x14ac:dyDescent="0.3">
      <c r="A258" s="13">
        <v>46073</v>
      </c>
      <c r="B258" t="s">
        <v>131</v>
      </c>
      <c r="C258" t="s">
        <v>38</v>
      </c>
      <c r="D258" t="s">
        <v>39</v>
      </c>
      <c r="E258" t="s">
        <v>21</v>
      </c>
      <c r="F258" t="s">
        <v>97</v>
      </c>
      <c r="G258" t="s">
        <v>90</v>
      </c>
      <c r="H258" s="11">
        <v>0.375</v>
      </c>
      <c r="I258" s="11">
        <v>0.37013888888888891</v>
      </c>
      <c r="J258" s="11">
        <v>0.75</v>
      </c>
      <c r="K258" s="11">
        <v>0.74583333333333335</v>
      </c>
      <c r="L258" t="s">
        <v>9</v>
      </c>
      <c r="M258" s="5">
        <f>IF(OR(I258="",H258=""),"",MAX(0,ROUND((I258-H258-Parametros!$B$4)*1440,0)))</f>
        <v>0</v>
      </c>
      <c r="N258" t="str">
        <f t="shared" ref="N258:N321" si="4">IF(L258="Asistencia","Sin novedad",L258)</f>
        <v>Sin novedad</v>
      </c>
      <c r="O258" t="s">
        <v>125</v>
      </c>
    </row>
    <row r="259" spans="1:15" x14ac:dyDescent="0.3">
      <c r="A259" s="13">
        <v>46073</v>
      </c>
      <c r="B259" t="s">
        <v>131</v>
      </c>
      <c r="C259" t="s">
        <v>40</v>
      </c>
      <c r="D259" t="s">
        <v>41</v>
      </c>
      <c r="E259" t="s">
        <v>23</v>
      </c>
      <c r="F259" t="s">
        <v>98</v>
      </c>
      <c r="G259" t="s">
        <v>99</v>
      </c>
      <c r="H259" s="11">
        <v>0.375</v>
      </c>
      <c r="I259" s="11">
        <v>0.40694444444444439</v>
      </c>
      <c r="J259" s="11">
        <v>0.75</v>
      </c>
      <c r="K259" s="11">
        <v>0.7583333333333333</v>
      </c>
      <c r="L259" t="s">
        <v>11</v>
      </c>
      <c r="M259" s="5">
        <f>IF(OR(I259="",H259=""),"",MAX(0,ROUND((I259-H259-Parametros!$B$4)*1440,0)))</f>
        <v>36</v>
      </c>
      <c r="N259" t="str">
        <f t="shared" si="4"/>
        <v>Tardanza</v>
      </c>
      <c r="O259" t="s">
        <v>122</v>
      </c>
    </row>
    <row r="260" spans="1:15" x14ac:dyDescent="0.3">
      <c r="A260" s="13">
        <v>46073</v>
      </c>
      <c r="B260" t="s">
        <v>131</v>
      </c>
      <c r="C260" t="s">
        <v>42</v>
      </c>
      <c r="D260" t="s">
        <v>43</v>
      </c>
      <c r="E260" t="s">
        <v>24</v>
      </c>
      <c r="F260" t="s">
        <v>100</v>
      </c>
      <c r="G260" t="s">
        <v>90</v>
      </c>
      <c r="H260" s="11">
        <v>0.375</v>
      </c>
      <c r="I260" s="11">
        <v>0.40277777777777779</v>
      </c>
      <c r="J260" s="11">
        <v>0.75</v>
      </c>
      <c r="K260" s="11">
        <v>0.75763888888888886</v>
      </c>
      <c r="L260" t="s">
        <v>11</v>
      </c>
      <c r="M260" s="5">
        <f>IF(OR(I260="",H260=""),"",MAX(0,ROUND((I260-H260-Parametros!$B$4)*1440,0)))</f>
        <v>30</v>
      </c>
      <c r="N260" t="str">
        <f t="shared" si="4"/>
        <v>Tardanza</v>
      </c>
      <c r="O260" t="s">
        <v>122</v>
      </c>
    </row>
    <row r="261" spans="1:15" x14ac:dyDescent="0.3">
      <c r="A261" s="13">
        <v>46073</v>
      </c>
      <c r="B261" t="s">
        <v>131</v>
      </c>
      <c r="C261" t="s">
        <v>44</v>
      </c>
      <c r="D261" t="s">
        <v>45</v>
      </c>
      <c r="E261" t="s">
        <v>25</v>
      </c>
      <c r="F261" t="s">
        <v>101</v>
      </c>
      <c r="G261" t="s">
        <v>90</v>
      </c>
      <c r="H261" s="11">
        <v>0.375</v>
      </c>
      <c r="I261" s="11">
        <v>0.3840277777777778</v>
      </c>
      <c r="J261" s="11">
        <v>0.75</v>
      </c>
      <c r="K261" s="11">
        <v>0.75763888888888886</v>
      </c>
      <c r="L261" t="s">
        <v>11</v>
      </c>
      <c r="M261" s="5">
        <f>IF(OR(I261="",H261=""),"",MAX(0,ROUND((I261-H261-Parametros!$B$4)*1440,0)))</f>
        <v>3</v>
      </c>
      <c r="N261" t="str">
        <f t="shared" si="4"/>
        <v>Tardanza</v>
      </c>
      <c r="O261" t="s">
        <v>129</v>
      </c>
    </row>
    <row r="262" spans="1:15" x14ac:dyDescent="0.3">
      <c r="A262" s="13">
        <v>46073</v>
      </c>
      <c r="B262" t="s">
        <v>131</v>
      </c>
      <c r="C262" t="s">
        <v>46</v>
      </c>
      <c r="D262" t="s">
        <v>47</v>
      </c>
      <c r="E262" t="s">
        <v>22</v>
      </c>
      <c r="F262" t="s">
        <v>102</v>
      </c>
      <c r="G262" t="s">
        <v>90</v>
      </c>
      <c r="H262" s="11">
        <v>0.375</v>
      </c>
      <c r="I262" s="11"/>
      <c r="J262" s="11">
        <v>0.75</v>
      </c>
      <c r="K262" s="11"/>
      <c r="L262" t="s">
        <v>16</v>
      </c>
      <c r="M262" s="5" t="str">
        <f>IF(OR(I262="",H262=""),"",MAX(0,ROUND((I262-H262-Parametros!$B$4)*1440,0)))</f>
        <v/>
      </c>
      <c r="N262" t="str">
        <f t="shared" si="4"/>
        <v>Vacaciones</v>
      </c>
      <c r="O262" t="s">
        <v>134</v>
      </c>
    </row>
    <row r="263" spans="1:15" x14ac:dyDescent="0.3">
      <c r="A263" s="13">
        <v>46073</v>
      </c>
      <c r="B263" t="s">
        <v>131</v>
      </c>
      <c r="C263" t="s">
        <v>48</v>
      </c>
      <c r="D263" t="s">
        <v>49</v>
      </c>
      <c r="E263" t="s">
        <v>21</v>
      </c>
      <c r="F263" t="s">
        <v>103</v>
      </c>
      <c r="G263" t="s">
        <v>104</v>
      </c>
      <c r="H263" s="11">
        <v>0.375</v>
      </c>
      <c r="I263" s="11">
        <v>0.37430555555555561</v>
      </c>
      <c r="J263" s="11">
        <v>0.75</v>
      </c>
      <c r="K263" s="11">
        <v>0.74722222222222223</v>
      </c>
      <c r="L263" t="s">
        <v>9</v>
      </c>
      <c r="M263" s="5">
        <f>IF(OR(I263="",H263=""),"",MAX(0,ROUND((I263-H263-Parametros!$B$4)*1440,0)))</f>
        <v>0</v>
      </c>
      <c r="N263" t="str">
        <f t="shared" si="4"/>
        <v>Sin novedad</v>
      </c>
      <c r="O263" t="s">
        <v>123</v>
      </c>
    </row>
    <row r="264" spans="1:15" x14ac:dyDescent="0.3">
      <c r="A264" s="13">
        <v>46073</v>
      </c>
      <c r="B264" t="s">
        <v>131</v>
      </c>
      <c r="C264" t="s">
        <v>50</v>
      </c>
      <c r="D264" t="s">
        <v>51</v>
      </c>
      <c r="E264" t="s">
        <v>23</v>
      </c>
      <c r="F264" t="s">
        <v>105</v>
      </c>
      <c r="G264" t="s">
        <v>99</v>
      </c>
      <c r="H264" s="11">
        <v>0.375</v>
      </c>
      <c r="I264" s="11">
        <v>0.37847222222222221</v>
      </c>
      <c r="J264" s="11">
        <v>0.75</v>
      </c>
      <c r="K264" s="11">
        <v>0.76527777777777772</v>
      </c>
      <c r="L264" t="s">
        <v>9</v>
      </c>
      <c r="M264" s="5">
        <f>IF(OR(I264="",H264=""),"",MAX(0,ROUND((I264-H264-Parametros!$B$4)*1440,0)))</f>
        <v>0</v>
      </c>
      <c r="N264" t="str">
        <f t="shared" si="4"/>
        <v>Sin novedad</v>
      </c>
      <c r="O264" t="s">
        <v>123</v>
      </c>
    </row>
    <row r="265" spans="1:15" x14ac:dyDescent="0.3">
      <c r="A265" s="13">
        <v>46073</v>
      </c>
      <c r="B265" t="s">
        <v>131</v>
      </c>
      <c r="C265" t="s">
        <v>52</v>
      </c>
      <c r="D265" t="s">
        <v>53</v>
      </c>
      <c r="E265" t="s">
        <v>25</v>
      </c>
      <c r="F265" t="s">
        <v>106</v>
      </c>
      <c r="G265" t="s">
        <v>90</v>
      </c>
      <c r="H265" s="11">
        <v>0.375</v>
      </c>
      <c r="I265" s="11">
        <v>0.38194444444444442</v>
      </c>
      <c r="J265" s="11">
        <v>0.75</v>
      </c>
      <c r="K265" s="11">
        <v>0.75972222222222219</v>
      </c>
      <c r="L265" t="s">
        <v>9</v>
      </c>
      <c r="M265" s="5">
        <f>IF(OR(I265="",H265=""),"",MAX(0,ROUND((I265-H265-Parametros!$B$4)*1440,0)))</f>
        <v>0</v>
      </c>
      <c r="N265" t="str">
        <f t="shared" si="4"/>
        <v>Sin novedad</v>
      </c>
      <c r="O265" t="s">
        <v>125</v>
      </c>
    </row>
    <row r="266" spans="1:15" x14ac:dyDescent="0.3">
      <c r="A266" s="13">
        <v>46073</v>
      </c>
      <c r="B266" t="s">
        <v>131</v>
      </c>
      <c r="C266" t="s">
        <v>54</v>
      </c>
      <c r="D266" t="s">
        <v>55</v>
      </c>
      <c r="E266" t="s">
        <v>21</v>
      </c>
      <c r="F266" t="s">
        <v>107</v>
      </c>
      <c r="G266" t="s">
        <v>104</v>
      </c>
      <c r="H266" s="11">
        <v>0.375</v>
      </c>
      <c r="I266" s="11">
        <v>0.37152777777777779</v>
      </c>
      <c r="J266" s="11">
        <v>0.75</v>
      </c>
      <c r="K266" s="11">
        <v>0.75347222222222221</v>
      </c>
      <c r="L266" t="s">
        <v>9</v>
      </c>
      <c r="M266" s="5">
        <f>IF(OR(I266="",H266=""),"",MAX(0,ROUND((I266-H266-Parametros!$B$4)*1440,0)))</f>
        <v>0</v>
      </c>
      <c r="N266" t="str">
        <f t="shared" si="4"/>
        <v>Sin novedad</v>
      </c>
      <c r="O266" t="s">
        <v>124</v>
      </c>
    </row>
    <row r="267" spans="1:15" x14ac:dyDescent="0.3">
      <c r="A267" s="13">
        <v>46073</v>
      </c>
      <c r="B267" t="s">
        <v>131</v>
      </c>
      <c r="C267" t="s">
        <v>56</v>
      </c>
      <c r="D267" t="s">
        <v>57</v>
      </c>
      <c r="E267" t="s">
        <v>23</v>
      </c>
      <c r="F267" t="s">
        <v>108</v>
      </c>
      <c r="G267" t="s">
        <v>99</v>
      </c>
      <c r="H267" s="11">
        <v>0.375</v>
      </c>
      <c r="I267" s="11">
        <v>0.40208333333333329</v>
      </c>
      <c r="J267" s="11">
        <v>0.75</v>
      </c>
      <c r="K267" s="11">
        <v>0.75486111111111109</v>
      </c>
      <c r="L267" t="s">
        <v>11</v>
      </c>
      <c r="M267" s="5">
        <f>IF(OR(I267="",H267=""),"",MAX(0,ROUND((I267-H267-Parametros!$B$4)*1440,0)))</f>
        <v>29</v>
      </c>
      <c r="N267" t="str">
        <f t="shared" si="4"/>
        <v>Tardanza</v>
      </c>
      <c r="O267" t="s">
        <v>129</v>
      </c>
    </row>
    <row r="268" spans="1:15" x14ac:dyDescent="0.3">
      <c r="A268" s="13">
        <v>46073</v>
      </c>
      <c r="B268" t="s">
        <v>131</v>
      </c>
      <c r="C268" t="s">
        <v>58</v>
      </c>
      <c r="D268" t="s">
        <v>59</v>
      </c>
      <c r="E268" t="s">
        <v>22</v>
      </c>
      <c r="F268" t="s">
        <v>109</v>
      </c>
      <c r="G268" t="s">
        <v>90</v>
      </c>
      <c r="H268" s="11">
        <v>0.375</v>
      </c>
      <c r="I268" s="11">
        <v>0.37430555555555561</v>
      </c>
      <c r="J268" s="11">
        <v>0.75</v>
      </c>
      <c r="K268" s="11">
        <v>0.75694444444444442</v>
      </c>
      <c r="L268" t="s">
        <v>9</v>
      </c>
      <c r="M268" s="5">
        <f>IF(OR(I268="",H268=""),"",MAX(0,ROUND((I268-H268-Parametros!$B$4)*1440,0)))</f>
        <v>0</v>
      </c>
      <c r="N268" t="str">
        <f t="shared" si="4"/>
        <v>Sin novedad</v>
      </c>
      <c r="O268" t="s">
        <v>124</v>
      </c>
    </row>
    <row r="269" spans="1:15" x14ac:dyDescent="0.3">
      <c r="A269" s="13">
        <v>46073</v>
      </c>
      <c r="B269" t="s">
        <v>131</v>
      </c>
      <c r="C269" t="s">
        <v>60</v>
      </c>
      <c r="D269" t="s">
        <v>61</v>
      </c>
      <c r="E269" t="s">
        <v>24</v>
      </c>
      <c r="F269" t="s">
        <v>110</v>
      </c>
      <c r="G269" t="s">
        <v>90</v>
      </c>
      <c r="H269" s="11">
        <v>0.375</v>
      </c>
      <c r="I269" s="11">
        <v>0.36458333333333331</v>
      </c>
      <c r="J269" s="11">
        <v>0.75</v>
      </c>
      <c r="K269" s="11">
        <v>0.76180555555555551</v>
      </c>
      <c r="L269" t="s">
        <v>9</v>
      </c>
      <c r="M269" s="5">
        <f>IF(OR(I269="",H269=""),"",MAX(0,ROUND((I269-H269-Parametros!$B$4)*1440,0)))</f>
        <v>0</v>
      </c>
      <c r="N269" t="str">
        <f t="shared" si="4"/>
        <v>Sin novedad</v>
      </c>
      <c r="O269" t="s">
        <v>124</v>
      </c>
    </row>
    <row r="270" spans="1:15" x14ac:dyDescent="0.3">
      <c r="A270" s="13">
        <v>46073</v>
      </c>
      <c r="B270" t="s">
        <v>131</v>
      </c>
      <c r="C270" t="s">
        <v>62</v>
      </c>
      <c r="D270" t="s">
        <v>63</v>
      </c>
      <c r="E270" t="s">
        <v>21</v>
      </c>
      <c r="F270" t="s">
        <v>111</v>
      </c>
      <c r="G270" t="s">
        <v>104</v>
      </c>
      <c r="H270" s="11">
        <v>0.375</v>
      </c>
      <c r="I270" s="11">
        <v>0.37569444444444439</v>
      </c>
      <c r="J270" s="11">
        <v>0.75</v>
      </c>
      <c r="K270" s="11">
        <v>0.74236111111111114</v>
      </c>
      <c r="L270" t="s">
        <v>9</v>
      </c>
      <c r="M270" s="5">
        <f>IF(OR(I270="",H270=""),"",MAX(0,ROUND((I270-H270-Parametros!$B$4)*1440,0)))</f>
        <v>0</v>
      </c>
      <c r="N270" t="str">
        <f t="shared" si="4"/>
        <v>Sin novedad</v>
      </c>
      <c r="O270" t="s">
        <v>124</v>
      </c>
    </row>
    <row r="271" spans="1:15" x14ac:dyDescent="0.3">
      <c r="A271" s="13">
        <v>46073</v>
      </c>
      <c r="B271" t="s">
        <v>131</v>
      </c>
      <c r="C271" t="s">
        <v>64</v>
      </c>
      <c r="D271" t="s">
        <v>65</v>
      </c>
      <c r="E271" t="s">
        <v>25</v>
      </c>
      <c r="F271" t="s">
        <v>112</v>
      </c>
      <c r="G271" t="s">
        <v>90</v>
      </c>
      <c r="H271" s="11">
        <v>0.375</v>
      </c>
      <c r="I271" s="11">
        <v>0.36527777777777781</v>
      </c>
      <c r="J271" s="11">
        <v>0.75</v>
      </c>
      <c r="K271" s="11">
        <v>0.76666666666666672</v>
      </c>
      <c r="L271" t="s">
        <v>9</v>
      </c>
      <c r="M271" s="5">
        <f>IF(OR(I271="",H271=""),"",MAX(0,ROUND((I271-H271-Parametros!$B$4)*1440,0)))</f>
        <v>0</v>
      </c>
      <c r="N271" t="str">
        <f t="shared" si="4"/>
        <v>Sin novedad</v>
      </c>
      <c r="O271" t="s">
        <v>124</v>
      </c>
    </row>
    <row r="272" spans="1:15" x14ac:dyDescent="0.3">
      <c r="A272" s="13">
        <v>46076</v>
      </c>
      <c r="B272" t="s">
        <v>120</v>
      </c>
      <c r="C272" t="s">
        <v>30</v>
      </c>
      <c r="D272" t="s">
        <v>31</v>
      </c>
      <c r="E272" t="s">
        <v>24</v>
      </c>
      <c r="F272" t="s">
        <v>89</v>
      </c>
      <c r="G272" t="s">
        <v>90</v>
      </c>
      <c r="H272" s="11">
        <v>0.375</v>
      </c>
      <c r="I272" s="11">
        <v>0.36666666666666659</v>
      </c>
      <c r="J272" s="11">
        <v>0.75</v>
      </c>
      <c r="K272" s="11">
        <v>0.76736111111111116</v>
      </c>
      <c r="L272" t="s">
        <v>9</v>
      </c>
      <c r="M272" s="5">
        <f>IF(OR(I272="",H272=""),"",MAX(0,ROUND((I272-H272-Parametros!$B$4)*1440,0)))</f>
        <v>0</v>
      </c>
      <c r="N272" t="str">
        <f t="shared" si="4"/>
        <v>Sin novedad</v>
      </c>
      <c r="O272" t="s">
        <v>124</v>
      </c>
    </row>
    <row r="273" spans="1:15" x14ac:dyDescent="0.3">
      <c r="A273" s="13">
        <v>46076</v>
      </c>
      <c r="B273" t="s">
        <v>120</v>
      </c>
      <c r="C273" t="s">
        <v>32</v>
      </c>
      <c r="D273" t="s">
        <v>33</v>
      </c>
      <c r="E273" t="s">
        <v>23</v>
      </c>
      <c r="F273" t="s">
        <v>92</v>
      </c>
      <c r="G273" t="s">
        <v>90</v>
      </c>
      <c r="H273" s="11">
        <v>0.375</v>
      </c>
      <c r="I273" s="11">
        <v>0.37916666666666671</v>
      </c>
      <c r="J273" s="11">
        <v>0.75</v>
      </c>
      <c r="K273" s="11">
        <v>0.74791666666666667</v>
      </c>
      <c r="L273" t="s">
        <v>9</v>
      </c>
      <c r="M273" s="5">
        <f>IF(OR(I273="",H273=""),"",MAX(0,ROUND((I273-H273-Parametros!$B$4)*1440,0)))</f>
        <v>0</v>
      </c>
      <c r="N273" t="str">
        <f t="shared" si="4"/>
        <v>Sin novedad</v>
      </c>
      <c r="O273" t="s">
        <v>125</v>
      </c>
    </row>
    <row r="274" spans="1:15" x14ac:dyDescent="0.3">
      <c r="A274" s="13">
        <v>46076</v>
      </c>
      <c r="B274" t="s">
        <v>120</v>
      </c>
      <c r="C274" t="s">
        <v>34</v>
      </c>
      <c r="D274" t="s">
        <v>35</v>
      </c>
      <c r="E274" t="s">
        <v>22</v>
      </c>
      <c r="F274" t="s">
        <v>94</v>
      </c>
      <c r="G274" t="s">
        <v>90</v>
      </c>
      <c r="H274" s="11">
        <v>0.375</v>
      </c>
      <c r="I274" s="11"/>
      <c r="J274" s="11">
        <v>0.75</v>
      </c>
      <c r="K274" s="11"/>
      <c r="L274" t="s">
        <v>13</v>
      </c>
      <c r="M274" s="5" t="str">
        <f>IF(OR(I274="",H274=""),"",MAX(0,ROUND((I274-H274-Parametros!$B$4)*1440,0)))</f>
        <v/>
      </c>
      <c r="N274" t="str">
        <f t="shared" si="4"/>
        <v>Falta</v>
      </c>
      <c r="O274" t="s">
        <v>128</v>
      </c>
    </row>
    <row r="275" spans="1:15" x14ac:dyDescent="0.3">
      <c r="A275" s="13">
        <v>46076</v>
      </c>
      <c r="B275" t="s">
        <v>120</v>
      </c>
      <c r="C275" t="s">
        <v>36</v>
      </c>
      <c r="D275" t="s">
        <v>37</v>
      </c>
      <c r="E275" t="s">
        <v>25</v>
      </c>
      <c r="F275" t="s">
        <v>95</v>
      </c>
      <c r="G275" t="s">
        <v>90</v>
      </c>
      <c r="H275" s="11">
        <v>0.375</v>
      </c>
      <c r="I275" s="11">
        <v>0.37986111111111109</v>
      </c>
      <c r="J275" s="11">
        <v>0.75</v>
      </c>
      <c r="K275" s="11">
        <v>0.74930555555555556</v>
      </c>
      <c r="L275" t="s">
        <v>9</v>
      </c>
      <c r="M275" s="5">
        <f>IF(OR(I275="",H275=""),"",MAX(0,ROUND((I275-H275-Parametros!$B$4)*1440,0)))</f>
        <v>0</v>
      </c>
      <c r="N275" t="str">
        <f t="shared" si="4"/>
        <v>Sin novedad</v>
      </c>
      <c r="O275" t="s">
        <v>124</v>
      </c>
    </row>
    <row r="276" spans="1:15" x14ac:dyDescent="0.3">
      <c r="A276" s="13">
        <v>46076</v>
      </c>
      <c r="B276" t="s">
        <v>120</v>
      </c>
      <c r="C276" t="s">
        <v>38</v>
      </c>
      <c r="D276" t="s">
        <v>39</v>
      </c>
      <c r="E276" t="s">
        <v>21</v>
      </c>
      <c r="F276" t="s">
        <v>97</v>
      </c>
      <c r="G276" t="s">
        <v>90</v>
      </c>
      <c r="H276" s="11">
        <v>0.375</v>
      </c>
      <c r="I276" s="11">
        <v>0.38263888888888892</v>
      </c>
      <c r="J276" s="11">
        <v>0.75</v>
      </c>
      <c r="K276" s="11">
        <v>0.75972222222222219</v>
      </c>
      <c r="L276" t="s">
        <v>11</v>
      </c>
      <c r="M276" s="5">
        <f>IF(OR(I276="",H276=""),"",MAX(0,ROUND((I276-H276-Parametros!$B$4)*1440,0)))</f>
        <v>1</v>
      </c>
      <c r="N276" t="str">
        <f t="shared" si="4"/>
        <v>Tardanza</v>
      </c>
      <c r="O276" t="s">
        <v>121</v>
      </c>
    </row>
    <row r="277" spans="1:15" x14ac:dyDescent="0.3">
      <c r="A277" s="13">
        <v>46076</v>
      </c>
      <c r="B277" t="s">
        <v>120</v>
      </c>
      <c r="C277" t="s">
        <v>40</v>
      </c>
      <c r="D277" t="s">
        <v>41</v>
      </c>
      <c r="E277" t="s">
        <v>23</v>
      </c>
      <c r="F277" t="s">
        <v>98</v>
      </c>
      <c r="G277" t="s">
        <v>99</v>
      </c>
      <c r="H277" s="11">
        <v>0.375</v>
      </c>
      <c r="I277" s="11">
        <v>0.39374999999999999</v>
      </c>
      <c r="J277" s="11">
        <v>0.75</v>
      </c>
      <c r="K277" s="11">
        <v>0.74652777777777779</v>
      </c>
      <c r="L277" t="s">
        <v>11</v>
      </c>
      <c r="M277" s="5">
        <f>IF(OR(I277="",H277=""),"",MAX(0,ROUND((I277-H277-Parametros!$B$4)*1440,0)))</f>
        <v>17</v>
      </c>
      <c r="N277" t="str">
        <f t="shared" si="4"/>
        <v>Tardanza</v>
      </c>
      <c r="O277" t="s">
        <v>121</v>
      </c>
    </row>
    <row r="278" spans="1:15" x14ac:dyDescent="0.3">
      <c r="A278" s="13">
        <v>46076</v>
      </c>
      <c r="B278" t="s">
        <v>120</v>
      </c>
      <c r="C278" t="s">
        <v>42</v>
      </c>
      <c r="D278" t="s">
        <v>43</v>
      </c>
      <c r="E278" t="s">
        <v>24</v>
      </c>
      <c r="F278" t="s">
        <v>100</v>
      </c>
      <c r="G278" t="s">
        <v>90</v>
      </c>
      <c r="H278" s="11">
        <v>0.375</v>
      </c>
      <c r="I278" s="11">
        <v>0.37847222222222221</v>
      </c>
      <c r="J278" s="11">
        <v>0.75</v>
      </c>
      <c r="K278" s="11">
        <v>0.74444444444444446</v>
      </c>
      <c r="L278" t="s">
        <v>9</v>
      </c>
      <c r="M278" s="5">
        <f>IF(OR(I278="",H278=""),"",MAX(0,ROUND((I278-H278-Parametros!$B$4)*1440,0)))</f>
        <v>0</v>
      </c>
      <c r="N278" t="str">
        <f t="shared" si="4"/>
        <v>Sin novedad</v>
      </c>
      <c r="O278" t="s">
        <v>123</v>
      </c>
    </row>
    <row r="279" spans="1:15" x14ac:dyDescent="0.3">
      <c r="A279" s="13">
        <v>46076</v>
      </c>
      <c r="B279" t="s">
        <v>120</v>
      </c>
      <c r="C279" t="s">
        <v>44</v>
      </c>
      <c r="D279" t="s">
        <v>45</v>
      </c>
      <c r="E279" t="s">
        <v>25</v>
      </c>
      <c r="F279" t="s">
        <v>101</v>
      </c>
      <c r="G279" t="s">
        <v>90</v>
      </c>
      <c r="H279" s="11">
        <v>0.375</v>
      </c>
      <c r="I279" s="11">
        <v>0.375</v>
      </c>
      <c r="J279" s="11">
        <v>0.75</v>
      </c>
      <c r="K279" s="11">
        <v>0.74583333333333335</v>
      </c>
      <c r="L279" t="s">
        <v>9</v>
      </c>
      <c r="M279" s="5">
        <f>IF(OR(I279="",H279=""),"",MAX(0,ROUND((I279-H279-Parametros!$B$4)*1440,0)))</f>
        <v>0</v>
      </c>
      <c r="N279" t="str">
        <f t="shared" si="4"/>
        <v>Sin novedad</v>
      </c>
      <c r="O279" t="s">
        <v>123</v>
      </c>
    </row>
    <row r="280" spans="1:15" x14ac:dyDescent="0.3">
      <c r="A280" s="13">
        <v>46076</v>
      </c>
      <c r="B280" t="s">
        <v>120</v>
      </c>
      <c r="C280" t="s">
        <v>46</v>
      </c>
      <c r="D280" t="s">
        <v>47</v>
      </c>
      <c r="E280" t="s">
        <v>22</v>
      </c>
      <c r="F280" t="s">
        <v>102</v>
      </c>
      <c r="G280" t="s">
        <v>90</v>
      </c>
      <c r="H280" s="11">
        <v>0.375</v>
      </c>
      <c r="I280" s="11">
        <v>0.36319444444444438</v>
      </c>
      <c r="J280" s="11">
        <v>0.75</v>
      </c>
      <c r="K280" s="11">
        <v>0.76458333333333328</v>
      </c>
      <c r="L280" t="s">
        <v>9</v>
      </c>
      <c r="M280" s="5">
        <f>IF(OR(I280="",H280=""),"",MAX(0,ROUND((I280-H280-Parametros!$B$4)*1440,0)))</f>
        <v>0</v>
      </c>
      <c r="N280" t="str">
        <f t="shared" si="4"/>
        <v>Sin novedad</v>
      </c>
      <c r="O280" t="s">
        <v>123</v>
      </c>
    </row>
    <row r="281" spans="1:15" x14ac:dyDescent="0.3">
      <c r="A281" s="13">
        <v>46076</v>
      </c>
      <c r="B281" t="s">
        <v>120</v>
      </c>
      <c r="C281" t="s">
        <v>48</v>
      </c>
      <c r="D281" t="s">
        <v>49</v>
      </c>
      <c r="E281" t="s">
        <v>21</v>
      </c>
      <c r="F281" t="s">
        <v>103</v>
      </c>
      <c r="G281" t="s">
        <v>104</v>
      </c>
      <c r="H281" s="11">
        <v>0.375</v>
      </c>
      <c r="I281" s="11">
        <v>0.36319444444444438</v>
      </c>
      <c r="J281" s="11">
        <v>0.75</v>
      </c>
      <c r="K281" s="11">
        <v>0.76249999999999996</v>
      </c>
      <c r="L281" t="s">
        <v>9</v>
      </c>
      <c r="M281" s="5">
        <f>IF(OR(I281="",H281=""),"",MAX(0,ROUND((I281-H281-Parametros!$B$4)*1440,0)))</f>
        <v>0</v>
      </c>
      <c r="N281" t="str">
        <f t="shared" si="4"/>
        <v>Sin novedad</v>
      </c>
      <c r="O281" t="s">
        <v>123</v>
      </c>
    </row>
    <row r="282" spans="1:15" x14ac:dyDescent="0.3">
      <c r="A282" s="13">
        <v>46076</v>
      </c>
      <c r="B282" t="s">
        <v>120</v>
      </c>
      <c r="C282" t="s">
        <v>50</v>
      </c>
      <c r="D282" t="s">
        <v>51</v>
      </c>
      <c r="E282" t="s">
        <v>23</v>
      </c>
      <c r="F282" t="s">
        <v>105</v>
      </c>
      <c r="G282" t="s">
        <v>99</v>
      </c>
      <c r="H282" s="11">
        <v>0.375</v>
      </c>
      <c r="I282" s="11">
        <v>0.40208333333333329</v>
      </c>
      <c r="J282" s="11">
        <v>0.75</v>
      </c>
      <c r="K282" s="11">
        <v>0.74722222222222223</v>
      </c>
      <c r="L282" t="s">
        <v>11</v>
      </c>
      <c r="M282" s="5">
        <f>IF(OR(I282="",H282=""),"",MAX(0,ROUND((I282-H282-Parametros!$B$4)*1440,0)))</f>
        <v>29</v>
      </c>
      <c r="N282" t="str">
        <f t="shared" si="4"/>
        <v>Tardanza</v>
      </c>
      <c r="O282" t="s">
        <v>121</v>
      </c>
    </row>
    <row r="283" spans="1:15" x14ac:dyDescent="0.3">
      <c r="A283" s="13">
        <v>46076</v>
      </c>
      <c r="B283" t="s">
        <v>120</v>
      </c>
      <c r="C283" t="s">
        <v>52</v>
      </c>
      <c r="D283" t="s">
        <v>53</v>
      </c>
      <c r="E283" t="s">
        <v>25</v>
      </c>
      <c r="F283" t="s">
        <v>106</v>
      </c>
      <c r="G283" t="s">
        <v>90</v>
      </c>
      <c r="H283" s="11">
        <v>0.375</v>
      </c>
      <c r="I283" s="11">
        <v>0.36527777777777781</v>
      </c>
      <c r="J283" s="11">
        <v>0.75</v>
      </c>
      <c r="K283" s="11">
        <v>0.75347222222222221</v>
      </c>
      <c r="L283" t="s">
        <v>9</v>
      </c>
      <c r="M283" s="5">
        <f>IF(OR(I283="",H283=""),"",MAX(0,ROUND((I283-H283-Parametros!$B$4)*1440,0)))</f>
        <v>0</v>
      </c>
      <c r="N283" t="str">
        <f t="shared" si="4"/>
        <v>Sin novedad</v>
      </c>
      <c r="O283" t="s">
        <v>125</v>
      </c>
    </row>
    <row r="284" spans="1:15" x14ac:dyDescent="0.3">
      <c r="A284" s="13">
        <v>46076</v>
      </c>
      <c r="B284" t="s">
        <v>120</v>
      </c>
      <c r="C284" t="s">
        <v>54</v>
      </c>
      <c r="D284" t="s">
        <v>55</v>
      </c>
      <c r="E284" t="s">
        <v>21</v>
      </c>
      <c r="F284" t="s">
        <v>107</v>
      </c>
      <c r="G284" t="s">
        <v>104</v>
      </c>
      <c r="H284" s="11">
        <v>0.375</v>
      </c>
      <c r="I284" s="11">
        <v>0.36944444444444452</v>
      </c>
      <c r="J284" s="11">
        <v>0.75</v>
      </c>
      <c r="K284" s="11">
        <v>0.7583333333333333</v>
      </c>
      <c r="L284" t="s">
        <v>9</v>
      </c>
      <c r="M284" s="5">
        <f>IF(OR(I284="",H284=""),"",MAX(0,ROUND((I284-H284-Parametros!$B$4)*1440,0)))</f>
        <v>0</v>
      </c>
      <c r="N284" t="str">
        <f t="shared" si="4"/>
        <v>Sin novedad</v>
      </c>
      <c r="O284" t="s">
        <v>125</v>
      </c>
    </row>
    <row r="285" spans="1:15" x14ac:dyDescent="0.3">
      <c r="A285" s="13">
        <v>46076</v>
      </c>
      <c r="B285" t="s">
        <v>120</v>
      </c>
      <c r="C285" t="s">
        <v>56</v>
      </c>
      <c r="D285" t="s">
        <v>57</v>
      </c>
      <c r="E285" t="s">
        <v>23</v>
      </c>
      <c r="F285" t="s">
        <v>108</v>
      </c>
      <c r="G285" t="s">
        <v>99</v>
      </c>
      <c r="H285" s="11">
        <v>0.375</v>
      </c>
      <c r="I285" s="11">
        <v>0.37569444444444439</v>
      </c>
      <c r="J285" s="11">
        <v>0.75</v>
      </c>
      <c r="K285" s="11">
        <v>0.76041666666666663</v>
      </c>
      <c r="L285" t="s">
        <v>9</v>
      </c>
      <c r="M285" s="5">
        <f>IF(OR(I285="",H285=""),"",MAX(0,ROUND((I285-H285-Parametros!$B$4)*1440,0)))</f>
        <v>0</v>
      </c>
      <c r="N285" t="str">
        <f t="shared" si="4"/>
        <v>Sin novedad</v>
      </c>
      <c r="O285" t="s">
        <v>124</v>
      </c>
    </row>
    <row r="286" spans="1:15" x14ac:dyDescent="0.3">
      <c r="A286" s="13">
        <v>46076</v>
      </c>
      <c r="B286" t="s">
        <v>120</v>
      </c>
      <c r="C286" t="s">
        <v>58</v>
      </c>
      <c r="D286" t="s">
        <v>59</v>
      </c>
      <c r="E286" t="s">
        <v>22</v>
      </c>
      <c r="F286" t="s">
        <v>109</v>
      </c>
      <c r="G286" t="s">
        <v>90</v>
      </c>
      <c r="H286" s="11">
        <v>0.375</v>
      </c>
      <c r="I286" s="11">
        <v>0.37638888888888888</v>
      </c>
      <c r="J286" s="11">
        <v>0.75</v>
      </c>
      <c r="K286" s="11">
        <v>0.76597222222222228</v>
      </c>
      <c r="L286" t="s">
        <v>9</v>
      </c>
      <c r="M286" s="5">
        <f>IF(OR(I286="",H286=""),"",MAX(0,ROUND((I286-H286-Parametros!$B$4)*1440,0)))</f>
        <v>0</v>
      </c>
      <c r="N286" t="str">
        <f t="shared" si="4"/>
        <v>Sin novedad</v>
      </c>
      <c r="O286" t="s">
        <v>125</v>
      </c>
    </row>
    <row r="287" spans="1:15" x14ac:dyDescent="0.3">
      <c r="A287" s="13">
        <v>46076</v>
      </c>
      <c r="B287" t="s">
        <v>120</v>
      </c>
      <c r="C287" t="s">
        <v>60</v>
      </c>
      <c r="D287" t="s">
        <v>61</v>
      </c>
      <c r="E287" t="s">
        <v>24</v>
      </c>
      <c r="F287" t="s">
        <v>110</v>
      </c>
      <c r="G287" t="s">
        <v>90</v>
      </c>
      <c r="H287" s="11">
        <v>0.375</v>
      </c>
      <c r="I287" s="11">
        <v>0.38194444444444442</v>
      </c>
      <c r="J287" s="11">
        <v>0.75</v>
      </c>
      <c r="K287" s="11">
        <v>0.75138888888888888</v>
      </c>
      <c r="L287" t="s">
        <v>9</v>
      </c>
      <c r="M287" s="5">
        <f>IF(OR(I287="",H287=""),"",MAX(0,ROUND((I287-H287-Parametros!$B$4)*1440,0)))</f>
        <v>0</v>
      </c>
      <c r="N287" t="str">
        <f t="shared" si="4"/>
        <v>Sin novedad</v>
      </c>
      <c r="O287" t="s">
        <v>123</v>
      </c>
    </row>
    <row r="288" spans="1:15" x14ac:dyDescent="0.3">
      <c r="A288" s="13">
        <v>46076</v>
      </c>
      <c r="B288" t="s">
        <v>120</v>
      </c>
      <c r="C288" t="s">
        <v>62</v>
      </c>
      <c r="D288" t="s">
        <v>63</v>
      </c>
      <c r="E288" t="s">
        <v>21</v>
      </c>
      <c r="F288" t="s">
        <v>111</v>
      </c>
      <c r="G288" t="s">
        <v>104</v>
      </c>
      <c r="H288" s="11">
        <v>0.375</v>
      </c>
      <c r="I288" s="11">
        <v>0.37152777777777779</v>
      </c>
      <c r="J288" s="11">
        <v>0.75</v>
      </c>
      <c r="K288" s="11">
        <v>0.74583333333333335</v>
      </c>
      <c r="L288" t="s">
        <v>9</v>
      </c>
      <c r="M288" s="5">
        <f>IF(OR(I288="",H288=""),"",MAX(0,ROUND((I288-H288-Parametros!$B$4)*1440,0)))</f>
        <v>0</v>
      </c>
      <c r="N288" t="str">
        <f t="shared" si="4"/>
        <v>Sin novedad</v>
      </c>
      <c r="O288" t="s">
        <v>123</v>
      </c>
    </row>
    <row r="289" spans="1:15" x14ac:dyDescent="0.3">
      <c r="A289" s="13">
        <v>46076</v>
      </c>
      <c r="B289" t="s">
        <v>120</v>
      </c>
      <c r="C289" t="s">
        <v>64</v>
      </c>
      <c r="D289" t="s">
        <v>65</v>
      </c>
      <c r="E289" t="s">
        <v>25</v>
      </c>
      <c r="F289" t="s">
        <v>112</v>
      </c>
      <c r="G289" t="s">
        <v>90</v>
      </c>
      <c r="H289" s="11">
        <v>0.375</v>
      </c>
      <c r="I289" s="11">
        <v>0.37013888888888891</v>
      </c>
      <c r="J289" s="11">
        <v>0.75</v>
      </c>
      <c r="K289" s="11">
        <v>0.74791666666666667</v>
      </c>
      <c r="L289" t="s">
        <v>9</v>
      </c>
      <c r="M289" s="5">
        <f>IF(OR(I289="",H289=""),"",MAX(0,ROUND((I289-H289-Parametros!$B$4)*1440,0)))</f>
        <v>0</v>
      </c>
      <c r="N289" t="str">
        <f t="shared" si="4"/>
        <v>Sin novedad</v>
      </c>
      <c r="O289" t="s">
        <v>125</v>
      </c>
    </row>
    <row r="290" spans="1:15" x14ac:dyDescent="0.3">
      <c r="A290" s="13">
        <v>46077</v>
      </c>
      <c r="B290" t="s">
        <v>126</v>
      </c>
      <c r="C290" t="s">
        <v>30</v>
      </c>
      <c r="D290" t="s">
        <v>31</v>
      </c>
      <c r="E290" t="s">
        <v>24</v>
      </c>
      <c r="F290" t="s">
        <v>89</v>
      </c>
      <c r="G290" t="s">
        <v>90</v>
      </c>
      <c r="H290" s="11">
        <v>0.375</v>
      </c>
      <c r="I290" s="11">
        <v>0.38611111111111113</v>
      </c>
      <c r="J290" s="11">
        <v>0.75</v>
      </c>
      <c r="K290" s="11">
        <v>0.74791666666666667</v>
      </c>
      <c r="L290" t="s">
        <v>11</v>
      </c>
      <c r="M290" s="5">
        <f>IF(OR(I290="",H290=""),"",MAX(0,ROUND((I290-H290-Parametros!$B$4)*1440,0)))</f>
        <v>6</v>
      </c>
      <c r="N290" t="str">
        <f t="shared" si="4"/>
        <v>Tardanza</v>
      </c>
      <c r="O290" t="s">
        <v>129</v>
      </c>
    </row>
    <row r="291" spans="1:15" x14ac:dyDescent="0.3">
      <c r="A291" s="13">
        <v>46077</v>
      </c>
      <c r="B291" t="s">
        <v>126</v>
      </c>
      <c r="C291" t="s">
        <v>32</v>
      </c>
      <c r="D291" t="s">
        <v>33</v>
      </c>
      <c r="E291" t="s">
        <v>23</v>
      </c>
      <c r="F291" t="s">
        <v>92</v>
      </c>
      <c r="G291" t="s">
        <v>90</v>
      </c>
      <c r="H291" s="11">
        <v>0.375</v>
      </c>
      <c r="I291" s="11">
        <v>0.37986111111111109</v>
      </c>
      <c r="J291" s="11">
        <v>0.75</v>
      </c>
      <c r="K291" s="11">
        <v>0.74722222222222223</v>
      </c>
      <c r="L291" t="s">
        <v>9</v>
      </c>
      <c r="M291" s="5">
        <f>IF(OR(I291="",H291=""),"",MAX(0,ROUND((I291-H291-Parametros!$B$4)*1440,0)))</f>
        <v>0</v>
      </c>
      <c r="N291" t="str">
        <f t="shared" si="4"/>
        <v>Sin novedad</v>
      </c>
      <c r="O291" t="s">
        <v>125</v>
      </c>
    </row>
    <row r="292" spans="1:15" x14ac:dyDescent="0.3">
      <c r="A292" s="13">
        <v>46077</v>
      </c>
      <c r="B292" t="s">
        <v>126</v>
      </c>
      <c r="C292" t="s">
        <v>34</v>
      </c>
      <c r="D292" t="s">
        <v>35</v>
      </c>
      <c r="E292" t="s">
        <v>22</v>
      </c>
      <c r="F292" t="s">
        <v>94</v>
      </c>
      <c r="G292" t="s">
        <v>90</v>
      </c>
      <c r="H292" s="11">
        <v>0.375</v>
      </c>
      <c r="I292" s="11">
        <v>0.37430555555555561</v>
      </c>
      <c r="J292" s="11">
        <v>0.75</v>
      </c>
      <c r="K292" s="11">
        <v>0.75624999999999998</v>
      </c>
      <c r="L292" t="s">
        <v>9</v>
      </c>
      <c r="M292" s="5">
        <f>IF(OR(I292="",H292=""),"",MAX(0,ROUND((I292-H292-Parametros!$B$4)*1440,0)))</f>
        <v>0</v>
      </c>
      <c r="N292" t="str">
        <f t="shared" si="4"/>
        <v>Sin novedad</v>
      </c>
      <c r="O292" t="s">
        <v>125</v>
      </c>
    </row>
    <row r="293" spans="1:15" x14ac:dyDescent="0.3">
      <c r="A293" s="13">
        <v>46077</v>
      </c>
      <c r="B293" t="s">
        <v>126</v>
      </c>
      <c r="C293" t="s">
        <v>36</v>
      </c>
      <c r="D293" t="s">
        <v>37</v>
      </c>
      <c r="E293" t="s">
        <v>25</v>
      </c>
      <c r="F293" t="s">
        <v>95</v>
      </c>
      <c r="G293" t="s">
        <v>90</v>
      </c>
      <c r="H293" s="11">
        <v>0.375</v>
      </c>
      <c r="I293" s="11">
        <v>0.37708333333333333</v>
      </c>
      <c r="J293" s="11">
        <v>0.75</v>
      </c>
      <c r="K293" s="11">
        <v>0.76041666666666663</v>
      </c>
      <c r="L293" t="s">
        <v>9</v>
      </c>
      <c r="M293" s="5">
        <f>IF(OR(I293="",H293=""),"",MAX(0,ROUND((I293-H293-Parametros!$B$4)*1440,0)))</f>
        <v>0</v>
      </c>
      <c r="N293" t="str">
        <f t="shared" si="4"/>
        <v>Sin novedad</v>
      </c>
      <c r="O293" t="s">
        <v>125</v>
      </c>
    </row>
    <row r="294" spans="1:15" x14ac:dyDescent="0.3">
      <c r="A294" s="13">
        <v>46077</v>
      </c>
      <c r="B294" t="s">
        <v>126</v>
      </c>
      <c r="C294" t="s">
        <v>38</v>
      </c>
      <c r="D294" t="s">
        <v>39</v>
      </c>
      <c r="E294" t="s">
        <v>21</v>
      </c>
      <c r="F294" t="s">
        <v>97</v>
      </c>
      <c r="G294" t="s">
        <v>90</v>
      </c>
      <c r="H294" s="11">
        <v>0.375</v>
      </c>
      <c r="I294" s="11">
        <v>0.36875000000000002</v>
      </c>
      <c r="J294" s="11">
        <v>0.75</v>
      </c>
      <c r="K294" s="11">
        <v>0.75694444444444442</v>
      </c>
      <c r="L294" t="s">
        <v>9</v>
      </c>
      <c r="M294" s="5">
        <f>IF(OR(I294="",H294=""),"",MAX(0,ROUND((I294-H294-Parametros!$B$4)*1440,0)))</f>
        <v>0</v>
      </c>
      <c r="N294" t="str">
        <f t="shared" si="4"/>
        <v>Sin novedad</v>
      </c>
      <c r="O294" t="s">
        <v>124</v>
      </c>
    </row>
    <row r="295" spans="1:15" x14ac:dyDescent="0.3">
      <c r="A295" s="13">
        <v>46077</v>
      </c>
      <c r="B295" t="s">
        <v>126</v>
      </c>
      <c r="C295" t="s">
        <v>40</v>
      </c>
      <c r="D295" t="s">
        <v>41</v>
      </c>
      <c r="E295" t="s">
        <v>23</v>
      </c>
      <c r="F295" t="s">
        <v>98</v>
      </c>
      <c r="G295" t="s">
        <v>99</v>
      </c>
      <c r="H295" s="11">
        <v>0.375</v>
      </c>
      <c r="I295" s="11">
        <v>0.40347222222222218</v>
      </c>
      <c r="J295" s="11">
        <v>0.75</v>
      </c>
      <c r="K295" s="11">
        <v>0.75416666666666665</v>
      </c>
      <c r="L295" t="s">
        <v>11</v>
      </c>
      <c r="M295" s="5">
        <f>IF(OR(I295="",H295=""),"",MAX(0,ROUND((I295-H295-Parametros!$B$4)*1440,0)))</f>
        <v>31</v>
      </c>
      <c r="N295" t="str">
        <f t="shared" si="4"/>
        <v>Tardanza</v>
      </c>
      <c r="O295" t="s">
        <v>121</v>
      </c>
    </row>
    <row r="296" spans="1:15" x14ac:dyDescent="0.3">
      <c r="A296" s="13">
        <v>46077</v>
      </c>
      <c r="B296" t="s">
        <v>126</v>
      </c>
      <c r="C296" t="s">
        <v>42</v>
      </c>
      <c r="D296" t="s">
        <v>43</v>
      </c>
      <c r="E296" t="s">
        <v>24</v>
      </c>
      <c r="F296" t="s">
        <v>100</v>
      </c>
      <c r="G296" t="s">
        <v>90</v>
      </c>
      <c r="H296" s="11">
        <v>0.375</v>
      </c>
      <c r="I296" s="11">
        <v>0.36458333333333331</v>
      </c>
      <c r="J296" s="11">
        <v>0.75</v>
      </c>
      <c r="K296" s="11">
        <v>0.75347222222222221</v>
      </c>
      <c r="L296" t="s">
        <v>9</v>
      </c>
      <c r="M296" s="5">
        <f>IF(OR(I296="",H296=""),"",MAX(0,ROUND((I296-H296-Parametros!$B$4)*1440,0)))</f>
        <v>0</v>
      </c>
      <c r="N296" t="str">
        <f t="shared" si="4"/>
        <v>Sin novedad</v>
      </c>
      <c r="O296" t="s">
        <v>125</v>
      </c>
    </row>
    <row r="297" spans="1:15" x14ac:dyDescent="0.3">
      <c r="A297" s="13">
        <v>46077</v>
      </c>
      <c r="B297" t="s">
        <v>126</v>
      </c>
      <c r="C297" t="s">
        <v>44</v>
      </c>
      <c r="D297" t="s">
        <v>45</v>
      </c>
      <c r="E297" t="s">
        <v>25</v>
      </c>
      <c r="F297" t="s">
        <v>101</v>
      </c>
      <c r="G297" t="s">
        <v>90</v>
      </c>
      <c r="H297" s="11">
        <v>0.375</v>
      </c>
      <c r="I297" s="11">
        <v>0.37430555555555561</v>
      </c>
      <c r="J297" s="11">
        <v>0.75</v>
      </c>
      <c r="K297" s="11">
        <v>0.76875000000000004</v>
      </c>
      <c r="L297" t="s">
        <v>9</v>
      </c>
      <c r="M297" s="5">
        <f>IF(OR(I297="",H297=""),"",MAX(0,ROUND((I297-H297-Parametros!$B$4)*1440,0)))</f>
        <v>0</v>
      </c>
      <c r="N297" t="str">
        <f t="shared" si="4"/>
        <v>Sin novedad</v>
      </c>
      <c r="O297" t="s">
        <v>125</v>
      </c>
    </row>
    <row r="298" spans="1:15" x14ac:dyDescent="0.3">
      <c r="A298" s="13">
        <v>46077</v>
      </c>
      <c r="B298" t="s">
        <v>126</v>
      </c>
      <c r="C298" t="s">
        <v>46</v>
      </c>
      <c r="D298" t="s">
        <v>47</v>
      </c>
      <c r="E298" t="s">
        <v>22</v>
      </c>
      <c r="F298" t="s">
        <v>102</v>
      </c>
      <c r="G298" t="s">
        <v>90</v>
      </c>
      <c r="H298" s="11">
        <v>0.375</v>
      </c>
      <c r="I298" s="11">
        <v>0.37569444444444439</v>
      </c>
      <c r="J298" s="11">
        <v>0.75</v>
      </c>
      <c r="K298" s="11">
        <v>0.75347222222222221</v>
      </c>
      <c r="L298" t="s">
        <v>9</v>
      </c>
      <c r="M298" s="5">
        <f>IF(OR(I298="",H298=""),"",MAX(0,ROUND((I298-H298-Parametros!$B$4)*1440,0)))</f>
        <v>0</v>
      </c>
      <c r="N298" t="str">
        <f t="shared" si="4"/>
        <v>Sin novedad</v>
      </c>
      <c r="O298" t="s">
        <v>124</v>
      </c>
    </row>
    <row r="299" spans="1:15" x14ac:dyDescent="0.3">
      <c r="A299" s="13">
        <v>46077</v>
      </c>
      <c r="B299" t="s">
        <v>126</v>
      </c>
      <c r="C299" t="s">
        <v>48</v>
      </c>
      <c r="D299" t="s">
        <v>49</v>
      </c>
      <c r="E299" t="s">
        <v>21</v>
      </c>
      <c r="F299" t="s">
        <v>103</v>
      </c>
      <c r="G299" t="s">
        <v>104</v>
      </c>
      <c r="H299" s="11">
        <v>0.375</v>
      </c>
      <c r="I299" s="11">
        <v>0.36875000000000002</v>
      </c>
      <c r="J299" s="11">
        <v>0.75</v>
      </c>
      <c r="K299" s="11">
        <v>0.75624999999999998</v>
      </c>
      <c r="L299" t="s">
        <v>9</v>
      </c>
      <c r="M299" s="5">
        <f>IF(OR(I299="",H299=""),"",MAX(0,ROUND((I299-H299-Parametros!$B$4)*1440,0)))</f>
        <v>0</v>
      </c>
      <c r="N299" t="str">
        <f t="shared" si="4"/>
        <v>Sin novedad</v>
      </c>
      <c r="O299" t="s">
        <v>123</v>
      </c>
    </row>
    <row r="300" spans="1:15" x14ac:dyDescent="0.3">
      <c r="A300" s="13">
        <v>46077</v>
      </c>
      <c r="B300" t="s">
        <v>126</v>
      </c>
      <c r="C300" t="s">
        <v>50</v>
      </c>
      <c r="D300" t="s">
        <v>51</v>
      </c>
      <c r="E300" t="s">
        <v>23</v>
      </c>
      <c r="F300" t="s">
        <v>105</v>
      </c>
      <c r="G300" t="s">
        <v>99</v>
      </c>
      <c r="H300" s="11">
        <v>0.375</v>
      </c>
      <c r="I300" s="11"/>
      <c r="J300" s="11">
        <v>0.75</v>
      </c>
      <c r="K300" s="11"/>
      <c r="L300" t="s">
        <v>13</v>
      </c>
      <c r="M300" s="5" t="str">
        <f>IF(OR(I300="",H300=""),"",MAX(0,ROUND((I300-H300-Parametros!$B$4)*1440,0)))</f>
        <v/>
      </c>
      <c r="N300" t="str">
        <f t="shared" si="4"/>
        <v>Falta</v>
      </c>
      <c r="O300" t="s">
        <v>128</v>
      </c>
    </row>
    <row r="301" spans="1:15" x14ac:dyDescent="0.3">
      <c r="A301" s="13">
        <v>46077</v>
      </c>
      <c r="B301" t="s">
        <v>126</v>
      </c>
      <c r="C301" t="s">
        <v>52</v>
      </c>
      <c r="D301" t="s">
        <v>53</v>
      </c>
      <c r="E301" t="s">
        <v>25</v>
      </c>
      <c r="F301" t="s">
        <v>106</v>
      </c>
      <c r="G301" t="s">
        <v>90</v>
      </c>
      <c r="H301" s="11">
        <v>0.375</v>
      </c>
      <c r="I301" s="11">
        <v>0.36527777777777781</v>
      </c>
      <c r="J301" s="11">
        <v>0.75</v>
      </c>
      <c r="K301" s="11">
        <v>0.76944444444444449</v>
      </c>
      <c r="L301" t="s">
        <v>9</v>
      </c>
      <c r="M301" s="5">
        <f>IF(OR(I301="",H301=""),"",MAX(0,ROUND((I301-H301-Parametros!$B$4)*1440,0)))</f>
        <v>0</v>
      </c>
      <c r="N301" t="str">
        <f t="shared" si="4"/>
        <v>Sin novedad</v>
      </c>
      <c r="O301" t="s">
        <v>124</v>
      </c>
    </row>
    <row r="302" spans="1:15" x14ac:dyDescent="0.3">
      <c r="A302" s="13">
        <v>46077</v>
      </c>
      <c r="B302" t="s">
        <v>126</v>
      </c>
      <c r="C302" t="s">
        <v>54</v>
      </c>
      <c r="D302" t="s">
        <v>55</v>
      </c>
      <c r="E302" t="s">
        <v>21</v>
      </c>
      <c r="F302" t="s">
        <v>107</v>
      </c>
      <c r="G302" t="s">
        <v>104</v>
      </c>
      <c r="H302" s="11">
        <v>0.375</v>
      </c>
      <c r="I302" s="11">
        <v>0.37083333333333329</v>
      </c>
      <c r="J302" s="11">
        <v>0.75</v>
      </c>
      <c r="K302" s="11">
        <v>0.75972222222222219</v>
      </c>
      <c r="L302" t="s">
        <v>9</v>
      </c>
      <c r="M302" s="5">
        <f>IF(OR(I302="",H302=""),"",MAX(0,ROUND((I302-H302-Parametros!$B$4)*1440,0)))</f>
        <v>0</v>
      </c>
      <c r="N302" t="str">
        <f t="shared" si="4"/>
        <v>Sin novedad</v>
      </c>
      <c r="O302" t="s">
        <v>123</v>
      </c>
    </row>
    <row r="303" spans="1:15" x14ac:dyDescent="0.3">
      <c r="A303" s="13">
        <v>46077</v>
      </c>
      <c r="B303" t="s">
        <v>126</v>
      </c>
      <c r="C303" t="s">
        <v>56</v>
      </c>
      <c r="D303" t="s">
        <v>57</v>
      </c>
      <c r="E303" t="s">
        <v>23</v>
      </c>
      <c r="F303" t="s">
        <v>108</v>
      </c>
      <c r="G303" t="s">
        <v>99</v>
      </c>
      <c r="H303" s="11">
        <v>0.375</v>
      </c>
      <c r="I303" s="11">
        <v>0.37847222222222221</v>
      </c>
      <c r="J303" s="11">
        <v>0.75</v>
      </c>
      <c r="K303" s="11">
        <v>0.75555555555555554</v>
      </c>
      <c r="L303" t="s">
        <v>9</v>
      </c>
      <c r="M303" s="5">
        <f>IF(OR(I303="",H303=""),"",MAX(0,ROUND((I303-H303-Parametros!$B$4)*1440,0)))</f>
        <v>0</v>
      </c>
      <c r="N303" t="str">
        <f t="shared" si="4"/>
        <v>Sin novedad</v>
      </c>
      <c r="O303" t="s">
        <v>125</v>
      </c>
    </row>
    <row r="304" spans="1:15" x14ac:dyDescent="0.3">
      <c r="A304" s="13">
        <v>46077</v>
      </c>
      <c r="B304" t="s">
        <v>126</v>
      </c>
      <c r="C304" t="s">
        <v>58</v>
      </c>
      <c r="D304" t="s">
        <v>59</v>
      </c>
      <c r="E304" t="s">
        <v>22</v>
      </c>
      <c r="F304" t="s">
        <v>109</v>
      </c>
      <c r="G304" t="s">
        <v>90</v>
      </c>
      <c r="H304" s="11">
        <v>0.375</v>
      </c>
      <c r="I304" s="11">
        <v>0.36527777777777781</v>
      </c>
      <c r="J304" s="11">
        <v>0.75</v>
      </c>
      <c r="K304" s="11">
        <v>0.74861111111111112</v>
      </c>
      <c r="L304" t="s">
        <v>9</v>
      </c>
      <c r="M304" s="5">
        <f>IF(OR(I304="",H304=""),"",MAX(0,ROUND((I304-H304-Parametros!$B$4)*1440,0)))</f>
        <v>0</v>
      </c>
      <c r="N304" t="str">
        <f t="shared" si="4"/>
        <v>Sin novedad</v>
      </c>
      <c r="O304" t="s">
        <v>125</v>
      </c>
    </row>
    <row r="305" spans="1:15" x14ac:dyDescent="0.3">
      <c r="A305" s="13">
        <v>46077</v>
      </c>
      <c r="B305" t="s">
        <v>126</v>
      </c>
      <c r="C305" t="s">
        <v>60</v>
      </c>
      <c r="D305" t="s">
        <v>61</v>
      </c>
      <c r="E305" t="s">
        <v>24</v>
      </c>
      <c r="F305" t="s">
        <v>110</v>
      </c>
      <c r="G305" t="s">
        <v>90</v>
      </c>
      <c r="H305" s="11">
        <v>0.375</v>
      </c>
      <c r="I305" s="11">
        <v>0.40208333333333329</v>
      </c>
      <c r="J305" s="11">
        <v>0.75</v>
      </c>
      <c r="K305" s="11">
        <v>0.77361111111111114</v>
      </c>
      <c r="L305" t="s">
        <v>11</v>
      </c>
      <c r="M305" s="5">
        <f>IF(OR(I305="",H305=""),"",MAX(0,ROUND((I305-H305-Parametros!$B$4)*1440,0)))</f>
        <v>29</v>
      </c>
      <c r="N305" t="str">
        <f t="shared" si="4"/>
        <v>Tardanza</v>
      </c>
      <c r="O305" t="s">
        <v>129</v>
      </c>
    </row>
    <row r="306" spans="1:15" x14ac:dyDescent="0.3">
      <c r="A306" s="13">
        <v>46077</v>
      </c>
      <c r="B306" t="s">
        <v>126</v>
      </c>
      <c r="C306" t="s">
        <v>62</v>
      </c>
      <c r="D306" t="s">
        <v>63</v>
      </c>
      <c r="E306" t="s">
        <v>21</v>
      </c>
      <c r="F306" t="s">
        <v>111</v>
      </c>
      <c r="G306" t="s">
        <v>104</v>
      </c>
      <c r="H306" s="11">
        <v>0.375</v>
      </c>
      <c r="I306" s="11">
        <v>0.36805555555555558</v>
      </c>
      <c r="J306" s="11">
        <v>0.75</v>
      </c>
      <c r="K306" s="11">
        <v>0.75069444444444444</v>
      </c>
      <c r="L306" t="s">
        <v>9</v>
      </c>
      <c r="M306" s="5">
        <f>IF(OR(I306="",H306=""),"",MAX(0,ROUND((I306-H306-Parametros!$B$4)*1440,0)))</f>
        <v>0</v>
      </c>
      <c r="N306" t="str">
        <f t="shared" si="4"/>
        <v>Sin novedad</v>
      </c>
      <c r="O306" t="s">
        <v>125</v>
      </c>
    </row>
    <row r="307" spans="1:15" x14ac:dyDescent="0.3">
      <c r="A307" s="13">
        <v>46077</v>
      </c>
      <c r="B307" t="s">
        <v>126</v>
      </c>
      <c r="C307" t="s">
        <v>64</v>
      </c>
      <c r="D307" t="s">
        <v>65</v>
      </c>
      <c r="E307" t="s">
        <v>25</v>
      </c>
      <c r="F307" t="s">
        <v>112</v>
      </c>
      <c r="G307" t="s">
        <v>90</v>
      </c>
      <c r="H307" s="11">
        <v>0.375</v>
      </c>
      <c r="I307" s="11">
        <v>0.36875000000000002</v>
      </c>
      <c r="J307" s="11">
        <v>0.75</v>
      </c>
      <c r="K307" s="11">
        <v>0.76736111111111116</v>
      </c>
      <c r="L307" t="s">
        <v>9</v>
      </c>
      <c r="M307" s="5">
        <f>IF(OR(I307="",H307=""),"",MAX(0,ROUND((I307-H307-Parametros!$B$4)*1440,0)))</f>
        <v>0</v>
      </c>
      <c r="N307" t="str">
        <f t="shared" si="4"/>
        <v>Sin novedad</v>
      </c>
      <c r="O307" t="s">
        <v>123</v>
      </c>
    </row>
    <row r="308" spans="1:15" x14ac:dyDescent="0.3">
      <c r="A308" s="13">
        <v>46078</v>
      </c>
      <c r="B308" t="s">
        <v>127</v>
      </c>
      <c r="C308" t="s">
        <v>30</v>
      </c>
      <c r="D308" t="s">
        <v>31</v>
      </c>
      <c r="E308" t="s">
        <v>24</v>
      </c>
      <c r="F308" t="s">
        <v>89</v>
      </c>
      <c r="G308" t="s">
        <v>90</v>
      </c>
      <c r="H308" s="11">
        <v>0.375</v>
      </c>
      <c r="I308" s="11">
        <v>0.36736111111111108</v>
      </c>
      <c r="J308" s="11">
        <v>0.75</v>
      </c>
      <c r="K308" s="11">
        <v>0.75902777777777775</v>
      </c>
      <c r="L308" t="s">
        <v>9</v>
      </c>
      <c r="M308" s="5">
        <f>IF(OR(I308="",H308=""),"",MAX(0,ROUND((I308-H308-Parametros!$B$4)*1440,0)))</f>
        <v>0</v>
      </c>
      <c r="N308" t="str">
        <f t="shared" si="4"/>
        <v>Sin novedad</v>
      </c>
      <c r="O308" t="s">
        <v>125</v>
      </c>
    </row>
    <row r="309" spans="1:15" x14ac:dyDescent="0.3">
      <c r="A309" s="13">
        <v>46078</v>
      </c>
      <c r="B309" t="s">
        <v>127</v>
      </c>
      <c r="C309" t="s">
        <v>32</v>
      </c>
      <c r="D309" t="s">
        <v>33</v>
      </c>
      <c r="E309" t="s">
        <v>23</v>
      </c>
      <c r="F309" t="s">
        <v>92</v>
      </c>
      <c r="G309" t="s">
        <v>90</v>
      </c>
      <c r="H309" s="11">
        <v>0.375</v>
      </c>
      <c r="I309" s="11">
        <v>0.36666666666666659</v>
      </c>
      <c r="J309" s="11">
        <v>0.75</v>
      </c>
      <c r="K309" s="11">
        <v>0.74722222222222223</v>
      </c>
      <c r="L309" t="s">
        <v>9</v>
      </c>
      <c r="M309" s="5">
        <f>IF(OR(I309="",H309=""),"",MAX(0,ROUND((I309-H309-Parametros!$B$4)*1440,0)))</f>
        <v>0</v>
      </c>
      <c r="N309" t="str">
        <f t="shared" si="4"/>
        <v>Sin novedad</v>
      </c>
      <c r="O309" t="s">
        <v>123</v>
      </c>
    </row>
    <row r="310" spans="1:15" x14ac:dyDescent="0.3">
      <c r="A310" s="13">
        <v>46078</v>
      </c>
      <c r="B310" t="s">
        <v>127</v>
      </c>
      <c r="C310" t="s">
        <v>34</v>
      </c>
      <c r="D310" t="s">
        <v>35</v>
      </c>
      <c r="E310" t="s">
        <v>22</v>
      </c>
      <c r="F310" t="s">
        <v>94</v>
      </c>
      <c r="G310" t="s">
        <v>90</v>
      </c>
      <c r="H310" s="11">
        <v>0.375</v>
      </c>
      <c r="I310" s="11">
        <v>0.37291666666666667</v>
      </c>
      <c r="J310" s="11">
        <v>0.75</v>
      </c>
      <c r="K310" s="11">
        <v>0.76041666666666663</v>
      </c>
      <c r="L310" t="s">
        <v>9</v>
      </c>
      <c r="M310" s="5">
        <f>IF(OR(I310="",H310=""),"",MAX(0,ROUND((I310-H310-Parametros!$B$4)*1440,0)))</f>
        <v>0</v>
      </c>
      <c r="N310" t="str">
        <f t="shared" si="4"/>
        <v>Sin novedad</v>
      </c>
      <c r="O310" t="s">
        <v>124</v>
      </c>
    </row>
    <row r="311" spans="1:15" x14ac:dyDescent="0.3">
      <c r="A311" s="13">
        <v>46078</v>
      </c>
      <c r="B311" t="s">
        <v>127</v>
      </c>
      <c r="C311" t="s">
        <v>36</v>
      </c>
      <c r="D311" t="s">
        <v>37</v>
      </c>
      <c r="E311" t="s">
        <v>25</v>
      </c>
      <c r="F311" t="s">
        <v>95</v>
      </c>
      <c r="G311" t="s">
        <v>90</v>
      </c>
      <c r="H311" s="11">
        <v>0.375</v>
      </c>
      <c r="I311" s="11">
        <v>0.36736111111111108</v>
      </c>
      <c r="J311" s="11">
        <v>0.75</v>
      </c>
      <c r="K311" s="11">
        <v>0.76388888888888884</v>
      </c>
      <c r="L311" t="s">
        <v>9</v>
      </c>
      <c r="M311" s="5">
        <f>IF(OR(I311="",H311=""),"",MAX(0,ROUND((I311-H311-Parametros!$B$4)*1440,0)))</f>
        <v>0</v>
      </c>
      <c r="N311" t="str">
        <f t="shared" si="4"/>
        <v>Sin novedad</v>
      </c>
      <c r="O311" t="s">
        <v>125</v>
      </c>
    </row>
    <row r="312" spans="1:15" x14ac:dyDescent="0.3">
      <c r="A312" s="13">
        <v>46078</v>
      </c>
      <c r="B312" t="s">
        <v>127</v>
      </c>
      <c r="C312" t="s">
        <v>38</v>
      </c>
      <c r="D312" t="s">
        <v>39</v>
      </c>
      <c r="E312" t="s">
        <v>21</v>
      </c>
      <c r="F312" t="s">
        <v>97</v>
      </c>
      <c r="G312" t="s">
        <v>90</v>
      </c>
      <c r="H312" s="11">
        <v>0.375</v>
      </c>
      <c r="I312" s="11">
        <v>0.36388888888888887</v>
      </c>
      <c r="J312" s="11">
        <v>0.75</v>
      </c>
      <c r="K312" s="11">
        <v>0.75902777777777775</v>
      </c>
      <c r="L312" t="s">
        <v>9</v>
      </c>
      <c r="M312" s="5">
        <f>IF(OR(I312="",H312=""),"",MAX(0,ROUND((I312-H312-Parametros!$B$4)*1440,0)))</f>
        <v>0</v>
      </c>
      <c r="N312" t="str">
        <f t="shared" si="4"/>
        <v>Sin novedad</v>
      </c>
      <c r="O312" t="s">
        <v>125</v>
      </c>
    </row>
    <row r="313" spans="1:15" x14ac:dyDescent="0.3">
      <c r="A313" s="13">
        <v>46078</v>
      </c>
      <c r="B313" t="s">
        <v>127</v>
      </c>
      <c r="C313" t="s">
        <v>40</v>
      </c>
      <c r="D313" t="s">
        <v>41</v>
      </c>
      <c r="E313" t="s">
        <v>23</v>
      </c>
      <c r="F313" t="s">
        <v>98</v>
      </c>
      <c r="G313" t="s">
        <v>99</v>
      </c>
      <c r="H313" s="11">
        <v>0.375</v>
      </c>
      <c r="I313" s="11"/>
      <c r="J313" s="11">
        <v>0.75</v>
      </c>
      <c r="K313" s="11"/>
      <c r="L313" t="s">
        <v>15</v>
      </c>
      <c r="M313" s="5" t="str">
        <f>IF(OR(I313="",H313=""),"",MAX(0,ROUND((I313-H313-Parametros!$B$4)*1440,0)))</f>
        <v/>
      </c>
      <c r="N313" t="str">
        <f t="shared" si="4"/>
        <v>Permiso</v>
      </c>
      <c r="O313" t="s">
        <v>136</v>
      </c>
    </row>
    <row r="314" spans="1:15" x14ac:dyDescent="0.3">
      <c r="A314" s="13">
        <v>46078</v>
      </c>
      <c r="B314" t="s">
        <v>127</v>
      </c>
      <c r="C314" t="s">
        <v>42</v>
      </c>
      <c r="D314" t="s">
        <v>43</v>
      </c>
      <c r="E314" t="s">
        <v>24</v>
      </c>
      <c r="F314" t="s">
        <v>100</v>
      </c>
      <c r="G314" t="s">
        <v>90</v>
      </c>
      <c r="H314" s="11">
        <v>0.375</v>
      </c>
      <c r="I314" s="11">
        <v>0.39652777777777781</v>
      </c>
      <c r="J314" s="11">
        <v>0.75</v>
      </c>
      <c r="K314" s="11">
        <v>0.76944444444444449</v>
      </c>
      <c r="L314" t="s">
        <v>11</v>
      </c>
      <c r="M314" s="5">
        <f>IF(OR(I314="",H314=""),"",MAX(0,ROUND((I314-H314-Parametros!$B$4)*1440,0)))</f>
        <v>21</v>
      </c>
      <c r="N314" t="str">
        <f t="shared" si="4"/>
        <v>Tardanza</v>
      </c>
      <c r="O314" t="s">
        <v>129</v>
      </c>
    </row>
    <row r="315" spans="1:15" x14ac:dyDescent="0.3">
      <c r="A315" s="13">
        <v>46078</v>
      </c>
      <c r="B315" t="s">
        <v>127</v>
      </c>
      <c r="C315" t="s">
        <v>44</v>
      </c>
      <c r="D315" t="s">
        <v>45</v>
      </c>
      <c r="E315" t="s">
        <v>25</v>
      </c>
      <c r="F315" t="s">
        <v>101</v>
      </c>
      <c r="G315" t="s">
        <v>90</v>
      </c>
      <c r="H315" s="11">
        <v>0.375</v>
      </c>
      <c r="I315" s="11">
        <v>0.37152777777777779</v>
      </c>
      <c r="J315" s="11">
        <v>0.75</v>
      </c>
      <c r="K315" s="11">
        <v>0.75416666666666665</v>
      </c>
      <c r="L315" t="s">
        <v>9</v>
      </c>
      <c r="M315" s="5">
        <f>IF(OR(I315="",H315=""),"",MAX(0,ROUND((I315-H315-Parametros!$B$4)*1440,0)))</f>
        <v>0</v>
      </c>
      <c r="N315" t="str">
        <f t="shared" si="4"/>
        <v>Sin novedad</v>
      </c>
      <c r="O315" t="s">
        <v>124</v>
      </c>
    </row>
    <row r="316" spans="1:15" x14ac:dyDescent="0.3">
      <c r="A316" s="13">
        <v>46078</v>
      </c>
      <c r="B316" t="s">
        <v>127</v>
      </c>
      <c r="C316" t="s">
        <v>46</v>
      </c>
      <c r="D316" t="s">
        <v>47</v>
      </c>
      <c r="E316" t="s">
        <v>22</v>
      </c>
      <c r="F316" t="s">
        <v>102</v>
      </c>
      <c r="G316" t="s">
        <v>90</v>
      </c>
      <c r="H316" s="11">
        <v>0.375</v>
      </c>
      <c r="I316" s="11">
        <v>0.3659722222222222</v>
      </c>
      <c r="J316" s="11">
        <v>0.75</v>
      </c>
      <c r="K316" s="11">
        <v>0.76875000000000004</v>
      </c>
      <c r="L316" t="s">
        <v>9</v>
      </c>
      <c r="M316" s="5">
        <f>IF(OR(I316="",H316=""),"",MAX(0,ROUND((I316-H316-Parametros!$B$4)*1440,0)))</f>
        <v>0</v>
      </c>
      <c r="N316" t="str">
        <f t="shared" si="4"/>
        <v>Sin novedad</v>
      </c>
      <c r="O316" t="s">
        <v>123</v>
      </c>
    </row>
    <row r="317" spans="1:15" x14ac:dyDescent="0.3">
      <c r="A317" s="13">
        <v>46078</v>
      </c>
      <c r="B317" t="s">
        <v>127</v>
      </c>
      <c r="C317" t="s">
        <v>48</v>
      </c>
      <c r="D317" t="s">
        <v>49</v>
      </c>
      <c r="E317" t="s">
        <v>21</v>
      </c>
      <c r="F317" t="s">
        <v>103</v>
      </c>
      <c r="G317" t="s">
        <v>104</v>
      </c>
      <c r="H317" s="11">
        <v>0.375</v>
      </c>
      <c r="I317" s="11">
        <v>0.36388888888888887</v>
      </c>
      <c r="J317" s="11">
        <v>0.75</v>
      </c>
      <c r="K317" s="11">
        <v>0.76041666666666663</v>
      </c>
      <c r="L317" t="s">
        <v>9</v>
      </c>
      <c r="M317" s="5">
        <f>IF(OR(I317="",H317=""),"",MAX(0,ROUND((I317-H317-Parametros!$B$4)*1440,0)))</f>
        <v>0</v>
      </c>
      <c r="N317" t="str">
        <f t="shared" si="4"/>
        <v>Sin novedad</v>
      </c>
      <c r="O317" t="s">
        <v>124</v>
      </c>
    </row>
    <row r="318" spans="1:15" x14ac:dyDescent="0.3">
      <c r="A318" s="13">
        <v>46078</v>
      </c>
      <c r="B318" t="s">
        <v>127</v>
      </c>
      <c r="C318" t="s">
        <v>50</v>
      </c>
      <c r="D318" t="s">
        <v>51</v>
      </c>
      <c r="E318" t="s">
        <v>23</v>
      </c>
      <c r="F318" t="s">
        <v>105</v>
      </c>
      <c r="G318" t="s">
        <v>99</v>
      </c>
      <c r="H318" s="11">
        <v>0.375</v>
      </c>
      <c r="I318" s="11">
        <v>0.37361111111111112</v>
      </c>
      <c r="J318" s="11">
        <v>0.75</v>
      </c>
      <c r="K318" s="11">
        <v>0.74513888888888891</v>
      </c>
      <c r="L318" t="s">
        <v>9</v>
      </c>
      <c r="M318" s="5">
        <f>IF(OR(I318="",H318=""),"",MAX(0,ROUND((I318-H318-Parametros!$B$4)*1440,0)))</f>
        <v>0</v>
      </c>
      <c r="N318" t="str">
        <f t="shared" si="4"/>
        <v>Sin novedad</v>
      </c>
      <c r="O318" t="s">
        <v>123</v>
      </c>
    </row>
    <row r="319" spans="1:15" x14ac:dyDescent="0.3">
      <c r="A319" s="13">
        <v>46078</v>
      </c>
      <c r="B319" t="s">
        <v>127</v>
      </c>
      <c r="C319" t="s">
        <v>52</v>
      </c>
      <c r="D319" t="s">
        <v>53</v>
      </c>
      <c r="E319" t="s">
        <v>25</v>
      </c>
      <c r="F319" t="s">
        <v>106</v>
      </c>
      <c r="G319" t="s">
        <v>90</v>
      </c>
      <c r="H319" s="11">
        <v>0.375</v>
      </c>
      <c r="I319" s="11">
        <v>0.36736111111111108</v>
      </c>
      <c r="J319" s="11">
        <v>0.75</v>
      </c>
      <c r="K319" s="11">
        <v>0.75624999999999998</v>
      </c>
      <c r="L319" t="s">
        <v>9</v>
      </c>
      <c r="M319" s="5">
        <f>IF(OR(I319="",H319=""),"",MAX(0,ROUND((I319-H319-Parametros!$B$4)*1440,0)))</f>
        <v>0</v>
      </c>
      <c r="N319" t="str">
        <f t="shared" si="4"/>
        <v>Sin novedad</v>
      </c>
      <c r="O319" t="s">
        <v>124</v>
      </c>
    </row>
    <row r="320" spans="1:15" x14ac:dyDescent="0.3">
      <c r="A320" s="13">
        <v>46078</v>
      </c>
      <c r="B320" t="s">
        <v>127</v>
      </c>
      <c r="C320" t="s">
        <v>54</v>
      </c>
      <c r="D320" t="s">
        <v>55</v>
      </c>
      <c r="E320" t="s">
        <v>21</v>
      </c>
      <c r="F320" t="s">
        <v>107</v>
      </c>
      <c r="G320" t="s">
        <v>104</v>
      </c>
      <c r="H320" s="11">
        <v>0.375</v>
      </c>
      <c r="I320" s="11">
        <v>0.37361111111111112</v>
      </c>
      <c r="J320" s="11">
        <v>0.75</v>
      </c>
      <c r="K320" s="11">
        <v>0.76388888888888884</v>
      </c>
      <c r="L320" t="s">
        <v>9</v>
      </c>
      <c r="M320" s="5">
        <f>IF(OR(I320="",H320=""),"",MAX(0,ROUND((I320-H320-Parametros!$B$4)*1440,0)))</f>
        <v>0</v>
      </c>
      <c r="N320" t="str">
        <f t="shared" si="4"/>
        <v>Sin novedad</v>
      </c>
      <c r="O320" t="s">
        <v>124</v>
      </c>
    </row>
    <row r="321" spans="1:15" x14ac:dyDescent="0.3">
      <c r="A321" s="13">
        <v>46078</v>
      </c>
      <c r="B321" t="s">
        <v>127</v>
      </c>
      <c r="C321" t="s">
        <v>56</v>
      </c>
      <c r="D321" t="s">
        <v>57</v>
      </c>
      <c r="E321" t="s">
        <v>23</v>
      </c>
      <c r="F321" t="s">
        <v>108</v>
      </c>
      <c r="G321" t="s">
        <v>99</v>
      </c>
      <c r="H321" s="11">
        <v>0.375</v>
      </c>
      <c r="I321" s="11">
        <v>0.37847222222222221</v>
      </c>
      <c r="J321" s="11">
        <v>0.75</v>
      </c>
      <c r="K321" s="11">
        <v>0.74791666666666667</v>
      </c>
      <c r="L321" t="s">
        <v>9</v>
      </c>
      <c r="M321" s="5">
        <f>IF(OR(I321="",H321=""),"",MAX(0,ROUND((I321-H321-Parametros!$B$4)*1440,0)))</f>
        <v>0</v>
      </c>
      <c r="N321" t="str">
        <f t="shared" si="4"/>
        <v>Sin novedad</v>
      </c>
      <c r="O321" t="s">
        <v>124</v>
      </c>
    </row>
    <row r="322" spans="1:15" x14ac:dyDescent="0.3">
      <c r="A322" s="13">
        <v>46078</v>
      </c>
      <c r="B322" t="s">
        <v>127</v>
      </c>
      <c r="C322" t="s">
        <v>58</v>
      </c>
      <c r="D322" t="s">
        <v>59</v>
      </c>
      <c r="E322" t="s">
        <v>22</v>
      </c>
      <c r="F322" t="s">
        <v>109</v>
      </c>
      <c r="G322" t="s">
        <v>90</v>
      </c>
      <c r="H322" s="11">
        <v>0.375</v>
      </c>
      <c r="I322" s="11">
        <v>0.3659722222222222</v>
      </c>
      <c r="J322" s="11">
        <v>0.75</v>
      </c>
      <c r="K322" s="11">
        <v>0.7680555555555556</v>
      </c>
      <c r="L322" t="s">
        <v>9</v>
      </c>
      <c r="M322" s="5">
        <f>IF(OR(I322="",H322=""),"",MAX(0,ROUND((I322-H322-Parametros!$B$4)*1440,0)))</f>
        <v>0</v>
      </c>
      <c r="N322" t="str">
        <f t="shared" ref="N322:N361" si="5">IF(L322="Asistencia","Sin novedad",L322)</f>
        <v>Sin novedad</v>
      </c>
      <c r="O322" t="s">
        <v>124</v>
      </c>
    </row>
    <row r="323" spans="1:15" x14ac:dyDescent="0.3">
      <c r="A323" s="13">
        <v>46078</v>
      </c>
      <c r="B323" t="s">
        <v>127</v>
      </c>
      <c r="C323" t="s">
        <v>60</v>
      </c>
      <c r="D323" t="s">
        <v>61</v>
      </c>
      <c r="E323" t="s">
        <v>24</v>
      </c>
      <c r="F323" t="s">
        <v>110</v>
      </c>
      <c r="G323" t="s">
        <v>90</v>
      </c>
      <c r="H323" s="11">
        <v>0.375</v>
      </c>
      <c r="I323" s="11">
        <v>0.3659722222222222</v>
      </c>
      <c r="J323" s="11">
        <v>0.75</v>
      </c>
      <c r="K323" s="11">
        <v>0.76944444444444449</v>
      </c>
      <c r="L323" t="s">
        <v>9</v>
      </c>
      <c r="M323" s="5">
        <f>IF(OR(I323="",H323=""),"",MAX(0,ROUND((I323-H323-Parametros!$B$4)*1440,0)))</f>
        <v>0</v>
      </c>
      <c r="N323" t="str">
        <f t="shared" si="5"/>
        <v>Sin novedad</v>
      </c>
      <c r="O323" t="s">
        <v>123</v>
      </c>
    </row>
    <row r="324" spans="1:15" x14ac:dyDescent="0.3">
      <c r="A324" s="13">
        <v>46078</v>
      </c>
      <c r="B324" t="s">
        <v>127</v>
      </c>
      <c r="C324" t="s">
        <v>62</v>
      </c>
      <c r="D324" t="s">
        <v>63</v>
      </c>
      <c r="E324" t="s">
        <v>21</v>
      </c>
      <c r="F324" t="s">
        <v>111</v>
      </c>
      <c r="G324" t="s">
        <v>104</v>
      </c>
      <c r="H324" s="11">
        <v>0.375</v>
      </c>
      <c r="I324" s="11">
        <v>0.375</v>
      </c>
      <c r="J324" s="11">
        <v>0.75</v>
      </c>
      <c r="K324" s="11">
        <v>0.76111111111111107</v>
      </c>
      <c r="L324" t="s">
        <v>9</v>
      </c>
      <c r="M324" s="5">
        <f>IF(OR(I324="",H324=""),"",MAX(0,ROUND((I324-H324-Parametros!$B$4)*1440,0)))</f>
        <v>0</v>
      </c>
      <c r="N324" t="str">
        <f t="shared" si="5"/>
        <v>Sin novedad</v>
      </c>
      <c r="O324" t="s">
        <v>125</v>
      </c>
    </row>
    <row r="325" spans="1:15" x14ac:dyDescent="0.3">
      <c r="A325" s="13">
        <v>46078</v>
      </c>
      <c r="B325" t="s">
        <v>127</v>
      </c>
      <c r="C325" t="s">
        <v>64</v>
      </c>
      <c r="D325" t="s">
        <v>65</v>
      </c>
      <c r="E325" t="s">
        <v>25</v>
      </c>
      <c r="F325" t="s">
        <v>112</v>
      </c>
      <c r="G325" t="s">
        <v>90</v>
      </c>
      <c r="H325" s="11">
        <v>0.375</v>
      </c>
      <c r="I325" s="11">
        <v>0.37638888888888888</v>
      </c>
      <c r="J325" s="11">
        <v>0.75</v>
      </c>
      <c r="K325" s="11">
        <v>0.76875000000000004</v>
      </c>
      <c r="L325" t="s">
        <v>9</v>
      </c>
      <c r="M325" s="5">
        <f>IF(OR(I325="",H325=""),"",MAX(0,ROUND((I325-H325-Parametros!$B$4)*1440,0)))</f>
        <v>0</v>
      </c>
      <c r="N325" t="str">
        <f t="shared" si="5"/>
        <v>Sin novedad</v>
      </c>
      <c r="O325" t="s">
        <v>123</v>
      </c>
    </row>
    <row r="326" spans="1:15" x14ac:dyDescent="0.3">
      <c r="A326" s="13">
        <v>46079</v>
      </c>
      <c r="B326" t="s">
        <v>130</v>
      </c>
      <c r="C326" t="s">
        <v>30</v>
      </c>
      <c r="D326" t="s">
        <v>31</v>
      </c>
      <c r="E326" t="s">
        <v>24</v>
      </c>
      <c r="F326" t="s">
        <v>89</v>
      </c>
      <c r="G326" t="s">
        <v>90</v>
      </c>
      <c r="H326" s="11">
        <v>0.375</v>
      </c>
      <c r="I326" s="11">
        <v>0.36527777777777781</v>
      </c>
      <c r="J326" s="11">
        <v>0.75</v>
      </c>
      <c r="K326" s="11">
        <v>0.76111111111111107</v>
      </c>
      <c r="L326" t="s">
        <v>9</v>
      </c>
      <c r="M326" s="5">
        <f>IF(OR(I326="",H326=""),"",MAX(0,ROUND((I326-H326-Parametros!$B$4)*1440,0)))</f>
        <v>0</v>
      </c>
      <c r="N326" t="str">
        <f t="shared" si="5"/>
        <v>Sin novedad</v>
      </c>
      <c r="O326" t="s">
        <v>124</v>
      </c>
    </row>
    <row r="327" spans="1:15" x14ac:dyDescent="0.3">
      <c r="A327" s="13">
        <v>46079</v>
      </c>
      <c r="B327" t="s">
        <v>130</v>
      </c>
      <c r="C327" t="s">
        <v>32</v>
      </c>
      <c r="D327" t="s">
        <v>33</v>
      </c>
      <c r="E327" t="s">
        <v>23</v>
      </c>
      <c r="F327" t="s">
        <v>92</v>
      </c>
      <c r="G327" t="s">
        <v>90</v>
      </c>
      <c r="H327" s="11">
        <v>0.375</v>
      </c>
      <c r="I327" s="11">
        <v>0.37986111111111109</v>
      </c>
      <c r="J327" s="11">
        <v>0.75</v>
      </c>
      <c r="K327" s="11">
        <v>0.75347222222222221</v>
      </c>
      <c r="L327" t="s">
        <v>9</v>
      </c>
      <c r="M327" s="5">
        <f>IF(OR(I327="",H327=""),"",MAX(0,ROUND((I327-H327-Parametros!$B$4)*1440,0)))</f>
        <v>0</v>
      </c>
      <c r="N327" t="str">
        <f t="shared" si="5"/>
        <v>Sin novedad</v>
      </c>
      <c r="O327" t="s">
        <v>125</v>
      </c>
    </row>
    <row r="328" spans="1:15" x14ac:dyDescent="0.3">
      <c r="A328" s="13">
        <v>46079</v>
      </c>
      <c r="B328" t="s">
        <v>130</v>
      </c>
      <c r="C328" t="s">
        <v>34</v>
      </c>
      <c r="D328" t="s">
        <v>35</v>
      </c>
      <c r="E328" t="s">
        <v>22</v>
      </c>
      <c r="F328" t="s">
        <v>94</v>
      </c>
      <c r="G328" t="s">
        <v>90</v>
      </c>
      <c r="H328" s="11">
        <v>0.375</v>
      </c>
      <c r="I328" s="11">
        <v>0.36875000000000002</v>
      </c>
      <c r="J328" s="11">
        <v>0.75</v>
      </c>
      <c r="K328" s="11">
        <v>0.76180555555555551</v>
      </c>
      <c r="L328" t="s">
        <v>9</v>
      </c>
      <c r="M328" s="5">
        <f>IF(OR(I328="",H328=""),"",MAX(0,ROUND((I328-H328-Parametros!$B$4)*1440,0)))</f>
        <v>0</v>
      </c>
      <c r="N328" t="str">
        <f t="shared" si="5"/>
        <v>Sin novedad</v>
      </c>
      <c r="O328" t="s">
        <v>123</v>
      </c>
    </row>
    <row r="329" spans="1:15" x14ac:dyDescent="0.3">
      <c r="A329" s="13">
        <v>46079</v>
      </c>
      <c r="B329" t="s">
        <v>130</v>
      </c>
      <c r="C329" t="s">
        <v>36</v>
      </c>
      <c r="D329" t="s">
        <v>37</v>
      </c>
      <c r="E329" t="s">
        <v>25</v>
      </c>
      <c r="F329" t="s">
        <v>95</v>
      </c>
      <c r="G329" t="s">
        <v>90</v>
      </c>
      <c r="H329" s="11">
        <v>0.375</v>
      </c>
      <c r="I329" s="11"/>
      <c r="J329" s="11">
        <v>0.75</v>
      </c>
      <c r="K329" s="11"/>
      <c r="L329" t="s">
        <v>15</v>
      </c>
      <c r="M329" s="5" t="str">
        <f>IF(OR(I329="",H329=""),"",MAX(0,ROUND((I329-H329-Parametros!$B$4)*1440,0)))</f>
        <v/>
      </c>
      <c r="N329" t="str">
        <f t="shared" si="5"/>
        <v>Permiso</v>
      </c>
      <c r="O329" t="s">
        <v>135</v>
      </c>
    </row>
    <row r="330" spans="1:15" x14ac:dyDescent="0.3">
      <c r="A330" s="13">
        <v>46079</v>
      </c>
      <c r="B330" t="s">
        <v>130</v>
      </c>
      <c r="C330" t="s">
        <v>38</v>
      </c>
      <c r="D330" t="s">
        <v>39</v>
      </c>
      <c r="E330" t="s">
        <v>21</v>
      </c>
      <c r="F330" t="s">
        <v>97</v>
      </c>
      <c r="G330" t="s">
        <v>90</v>
      </c>
      <c r="H330" s="11">
        <v>0.375</v>
      </c>
      <c r="I330" s="11">
        <v>0.38611111111111113</v>
      </c>
      <c r="J330" s="11">
        <v>0.75</v>
      </c>
      <c r="K330" s="11">
        <v>0.77152777777777781</v>
      </c>
      <c r="L330" t="s">
        <v>11</v>
      </c>
      <c r="M330" s="5">
        <f>IF(OR(I330="",H330=""),"",MAX(0,ROUND((I330-H330-Parametros!$B$4)*1440,0)))</f>
        <v>6</v>
      </c>
      <c r="N330" t="str">
        <f t="shared" si="5"/>
        <v>Tardanza</v>
      </c>
      <c r="O330" t="s">
        <v>122</v>
      </c>
    </row>
    <row r="331" spans="1:15" x14ac:dyDescent="0.3">
      <c r="A331" s="13">
        <v>46079</v>
      </c>
      <c r="B331" t="s">
        <v>130</v>
      </c>
      <c r="C331" t="s">
        <v>40</v>
      </c>
      <c r="D331" t="s">
        <v>41</v>
      </c>
      <c r="E331" t="s">
        <v>23</v>
      </c>
      <c r="F331" t="s">
        <v>98</v>
      </c>
      <c r="G331" t="s">
        <v>99</v>
      </c>
      <c r="H331" s="11">
        <v>0.375</v>
      </c>
      <c r="I331" s="11">
        <v>0.37430555555555561</v>
      </c>
      <c r="J331" s="11">
        <v>0.75</v>
      </c>
      <c r="K331" s="11">
        <v>0.74305555555555558</v>
      </c>
      <c r="L331" t="s">
        <v>9</v>
      </c>
      <c r="M331" s="5">
        <f>IF(OR(I331="",H331=""),"",MAX(0,ROUND((I331-H331-Parametros!$B$4)*1440,0)))</f>
        <v>0</v>
      </c>
      <c r="N331" t="str">
        <f t="shared" si="5"/>
        <v>Sin novedad</v>
      </c>
      <c r="O331" t="s">
        <v>123</v>
      </c>
    </row>
    <row r="332" spans="1:15" x14ac:dyDescent="0.3">
      <c r="A332" s="13">
        <v>46079</v>
      </c>
      <c r="B332" t="s">
        <v>130</v>
      </c>
      <c r="C332" t="s">
        <v>42</v>
      </c>
      <c r="D332" t="s">
        <v>43</v>
      </c>
      <c r="E332" t="s">
        <v>24</v>
      </c>
      <c r="F332" t="s">
        <v>100</v>
      </c>
      <c r="G332" t="s">
        <v>90</v>
      </c>
      <c r="H332" s="11">
        <v>0.375</v>
      </c>
      <c r="I332" s="11">
        <v>0.36666666666666659</v>
      </c>
      <c r="J332" s="11">
        <v>0.75</v>
      </c>
      <c r="K332" s="11">
        <v>0.75555555555555554</v>
      </c>
      <c r="L332" t="s">
        <v>9</v>
      </c>
      <c r="M332" s="5">
        <f>IF(OR(I332="",H332=""),"",MAX(0,ROUND((I332-H332-Parametros!$B$4)*1440,0)))</f>
        <v>0</v>
      </c>
      <c r="N332" t="str">
        <f t="shared" si="5"/>
        <v>Sin novedad</v>
      </c>
      <c r="O332" t="s">
        <v>125</v>
      </c>
    </row>
    <row r="333" spans="1:15" x14ac:dyDescent="0.3">
      <c r="A333" s="13">
        <v>46079</v>
      </c>
      <c r="B333" t="s">
        <v>130</v>
      </c>
      <c r="C333" t="s">
        <v>44</v>
      </c>
      <c r="D333" t="s">
        <v>45</v>
      </c>
      <c r="E333" t="s">
        <v>25</v>
      </c>
      <c r="F333" t="s">
        <v>101</v>
      </c>
      <c r="G333" t="s">
        <v>90</v>
      </c>
      <c r="H333" s="11">
        <v>0.375</v>
      </c>
      <c r="I333" s="11">
        <v>0.38472222222222219</v>
      </c>
      <c r="J333" s="11">
        <v>0.75</v>
      </c>
      <c r="K333" s="11">
        <v>0.76388888888888884</v>
      </c>
      <c r="L333" t="s">
        <v>11</v>
      </c>
      <c r="M333" s="5">
        <f>IF(OR(I333="",H333=""),"",MAX(0,ROUND((I333-H333-Parametros!$B$4)*1440,0)))</f>
        <v>4</v>
      </c>
      <c r="N333" t="str">
        <f t="shared" si="5"/>
        <v>Tardanza</v>
      </c>
      <c r="O333" t="s">
        <v>121</v>
      </c>
    </row>
    <row r="334" spans="1:15" x14ac:dyDescent="0.3">
      <c r="A334" s="13">
        <v>46079</v>
      </c>
      <c r="B334" t="s">
        <v>130</v>
      </c>
      <c r="C334" t="s">
        <v>46</v>
      </c>
      <c r="D334" t="s">
        <v>47</v>
      </c>
      <c r="E334" t="s">
        <v>22</v>
      </c>
      <c r="F334" t="s">
        <v>102</v>
      </c>
      <c r="G334" t="s">
        <v>90</v>
      </c>
      <c r="H334" s="11">
        <v>0.375</v>
      </c>
      <c r="I334" s="11">
        <v>0.37777777777777782</v>
      </c>
      <c r="J334" s="11">
        <v>0.75</v>
      </c>
      <c r="K334" s="11">
        <v>0.74513888888888891</v>
      </c>
      <c r="L334" t="s">
        <v>9</v>
      </c>
      <c r="M334" s="5">
        <f>IF(OR(I334="",H334=""),"",MAX(0,ROUND((I334-H334-Parametros!$B$4)*1440,0)))</f>
        <v>0</v>
      </c>
      <c r="N334" t="str">
        <f t="shared" si="5"/>
        <v>Sin novedad</v>
      </c>
      <c r="O334" t="s">
        <v>125</v>
      </c>
    </row>
    <row r="335" spans="1:15" x14ac:dyDescent="0.3">
      <c r="A335" s="13">
        <v>46079</v>
      </c>
      <c r="B335" t="s">
        <v>130</v>
      </c>
      <c r="C335" t="s">
        <v>48</v>
      </c>
      <c r="D335" t="s">
        <v>49</v>
      </c>
      <c r="E335" t="s">
        <v>21</v>
      </c>
      <c r="F335" t="s">
        <v>103</v>
      </c>
      <c r="G335" t="s">
        <v>104</v>
      </c>
      <c r="H335" s="11">
        <v>0.375</v>
      </c>
      <c r="I335" s="11">
        <v>0.40208333333333329</v>
      </c>
      <c r="J335" s="11">
        <v>0.75</v>
      </c>
      <c r="K335" s="11">
        <v>0.76388888888888884</v>
      </c>
      <c r="L335" t="s">
        <v>11</v>
      </c>
      <c r="M335" s="5">
        <f>IF(OR(I335="",H335=""),"",MAX(0,ROUND((I335-H335-Parametros!$B$4)*1440,0)))</f>
        <v>29</v>
      </c>
      <c r="N335" t="str">
        <f t="shared" si="5"/>
        <v>Tardanza</v>
      </c>
      <c r="O335" t="s">
        <v>122</v>
      </c>
    </row>
    <row r="336" spans="1:15" x14ac:dyDescent="0.3">
      <c r="A336" s="13">
        <v>46079</v>
      </c>
      <c r="B336" t="s">
        <v>130</v>
      </c>
      <c r="C336" t="s">
        <v>50</v>
      </c>
      <c r="D336" t="s">
        <v>51</v>
      </c>
      <c r="E336" t="s">
        <v>23</v>
      </c>
      <c r="F336" t="s">
        <v>105</v>
      </c>
      <c r="G336" t="s">
        <v>99</v>
      </c>
      <c r="H336" s="11">
        <v>0.375</v>
      </c>
      <c r="I336" s="11">
        <v>0.37013888888888891</v>
      </c>
      <c r="J336" s="11">
        <v>0.75</v>
      </c>
      <c r="K336" s="11">
        <v>0.75416666666666665</v>
      </c>
      <c r="L336" t="s">
        <v>9</v>
      </c>
      <c r="M336" s="5">
        <f>IF(OR(I336="",H336=""),"",MAX(0,ROUND((I336-H336-Parametros!$B$4)*1440,0)))</f>
        <v>0</v>
      </c>
      <c r="N336" t="str">
        <f t="shared" si="5"/>
        <v>Sin novedad</v>
      </c>
      <c r="O336" t="s">
        <v>123</v>
      </c>
    </row>
    <row r="337" spans="1:15" x14ac:dyDescent="0.3">
      <c r="A337" s="13">
        <v>46079</v>
      </c>
      <c r="B337" t="s">
        <v>130</v>
      </c>
      <c r="C337" t="s">
        <v>52</v>
      </c>
      <c r="D337" t="s">
        <v>53</v>
      </c>
      <c r="E337" t="s">
        <v>25</v>
      </c>
      <c r="F337" t="s">
        <v>106</v>
      </c>
      <c r="G337" t="s">
        <v>90</v>
      </c>
      <c r="H337" s="11">
        <v>0.375</v>
      </c>
      <c r="I337" s="11">
        <v>0.37569444444444439</v>
      </c>
      <c r="J337" s="11">
        <v>0.75</v>
      </c>
      <c r="K337" s="11">
        <v>0.74375000000000002</v>
      </c>
      <c r="L337" t="s">
        <v>9</v>
      </c>
      <c r="M337" s="5">
        <f>IF(OR(I337="",H337=""),"",MAX(0,ROUND((I337-H337-Parametros!$B$4)*1440,0)))</f>
        <v>0</v>
      </c>
      <c r="N337" t="str">
        <f t="shared" si="5"/>
        <v>Sin novedad</v>
      </c>
      <c r="O337" t="s">
        <v>125</v>
      </c>
    </row>
    <row r="338" spans="1:15" x14ac:dyDescent="0.3">
      <c r="A338" s="13">
        <v>46079</v>
      </c>
      <c r="B338" t="s">
        <v>130</v>
      </c>
      <c r="C338" t="s">
        <v>54</v>
      </c>
      <c r="D338" t="s">
        <v>55</v>
      </c>
      <c r="E338" t="s">
        <v>21</v>
      </c>
      <c r="F338" t="s">
        <v>107</v>
      </c>
      <c r="G338" t="s">
        <v>104</v>
      </c>
      <c r="H338" s="11">
        <v>0.375</v>
      </c>
      <c r="I338" s="11">
        <v>0.38680555555555562</v>
      </c>
      <c r="J338" s="11">
        <v>0.75</v>
      </c>
      <c r="K338" s="11">
        <v>0.76875000000000004</v>
      </c>
      <c r="L338" t="s">
        <v>11</v>
      </c>
      <c r="M338" s="5">
        <f>IF(OR(I338="",H338=""),"",MAX(0,ROUND((I338-H338-Parametros!$B$4)*1440,0)))</f>
        <v>7</v>
      </c>
      <c r="N338" t="str">
        <f t="shared" si="5"/>
        <v>Tardanza</v>
      </c>
      <c r="O338" t="s">
        <v>122</v>
      </c>
    </row>
    <row r="339" spans="1:15" x14ac:dyDescent="0.3">
      <c r="A339" s="13">
        <v>46079</v>
      </c>
      <c r="B339" t="s">
        <v>130</v>
      </c>
      <c r="C339" t="s">
        <v>56</v>
      </c>
      <c r="D339" t="s">
        <v>57</v>
      </c>
      <c r="E339" t="s">
        <v>23</v>
      </c>
      <c r="F339" t="s">
        <v>108</v>
      </c>
      <c r="G339" t="s">
        <v>99</v>
      </c>
      <c r="H339" s="11">
        <v>0.375</v>
      </c>
      <c r="I339" s="11">
        <v>0.38124999999999998</v>
      </c>
      <c r="J339" s="11">
        <v>0.75</v>
      </c>
      <c r="K339" s="11">
        <v>0.7680555555555556</v>
      </c>
      <c r="L339" t="s">
        <v>9</v>
      </c>
      <c r="M339" s="5">
        <f>IF(OR(I339="",H339=""),"",MAX(0,ROUND((I339-H339-Parametros!$B$4)*1440,0)))</f>
        <v>0</v>
      </c>
      <c r="N339" t="str">
        <f t="shared" si="5"/>
        <v>Sin novedad</v>
      </c>
      <c r="O339" t="s">
        <v>124</v>
      </c>
    </row>
    <row r="340" spans="1:15" x14ac:dyDescent="0.3">
      <c r="A340" s="13">
        <v>46079</v>
      </c>
      <c r="B340" t="s">
        <v>130</v>
      </c>
      <c r="C340" t="s">
        <v>58</v>
      </c>
      <c r="D340" t="s">
        <v>59</v>
      </c>
      <c r="E340" t="s">
        <v>22</v>
      </c>
      <c r="F340" t="s">
        <v>109</v>
      </c>
      <c r="G340" t="s">
        <v>90</v>
      </c>
      <c r="H340" s="11">
        <v>0.375</v>
      </c>
      <c r="I340" s="11">
        <v>0.36527777777777781</v>
      </c>
      <c r="J340" s="11">
        <v>0.75</v>
      </c>
      <c r="K340" s="11">
        <v>0.75694444444444442</v>
      </c>
      <c r="L340" t="s">
        <v>9</v>
      </c>
      <c r="M340" s="5">
        <f>IF(OR(I340="",H340=""),"",MAX(0,ROUND((I340-H340-Parametros!$B$4)*1440,0)))</f>
        <v>0</v>
      </c>
      <c r="N340" t="str">
        <f t="shared" si="5"/>
        <v>Sin novedad</v>
      </c>
      <c r="O340" t="s">
        <v>123</v>
      </c>
    </row>
    <row r="341" spans="1:15" x14ac:dyDescent="0.3">
      <c r="A341" s="13">
        <v>46079</v>
      </c>
      <c r="B341" t="s">
        <v>130</v>
      </c>
      <c r="C341" t="s">
        <v>60</v>
      </c>
      <c r="D341" t="s">
        <v>61</v>
      </c>
      <c r="E341" t="s">
        <v>24</v>
      </c>
      <c r="F341" t="s">
        <v>110</v>
      </c>
      <c r="G341" t="s">
        <v>90</v>
      </c>
      <c r="H341" s="11">
        <v>0.375</v>
      </c>
      <c r="I341" s="11">
        <v>0.37083333333333329</v>
      </c>
      <c r="J341" s="11">
        <v>0.75</v>
      </c>
      <c r="K341" s="11">
        <v>0.74722222222222223</v>
      </c>
      <c r="L341" t="s">
        <v>9</v>
      </c>
      <c r="M341" s="5">
        <f>IF(OR(I341="",H341=""),"",MAX(0,ROUND((I341-H341-Parametros!$B$4)*1440,0)))</f>
        <v>0</v>
      </c>
      <c r="N341" t="str">
        <f t="shared" si="5"/>
        <v>Sin novedad</v>
      </c>
      <c r="O341" t="s">
        <v>125</v>
      </c>
    </row>
    <row r="342" spans="1:15" x14ac:dyDescent="0.3">
      <c r="A342" s="13">
        <v>46079</v>
      </c>
      <c r="B342" t="s">
        <v>130</v>
      </c>
      <c r="C342" t="s">
        <v>62</v>
      </c>
      <c r="D342" t="s">
        <v>63</v>
      </c>
      <c r="E342" t="s">
        <v>21</v>
      </c>
      <c r="F342" t="s">
        <v>111</v>
      </c>
      <c r="G342" t="s">
        <v>104</v>
      </c>
      <c r="H342" s="11">
        <v>0.375</v>
      </c>
      <c r="I342" s="11">
        <v>0.40694444444444439</v>
      </c>
      <c r="J342" s="11">
        <v>0.75</v>
      </c>
      <c r="K342" s="11">
        <v>0.76111111111111107</v>
      </c>
      <c r="L342" t="s">
        <v>11</v>
      </c>
      <c r="M342" s="5">
        <f>IF(OR(I342="",H342=""),"",MAX(0,ROUND((I342-H342-Parametros!$B$4)*1440,0)))</f>
        <v>36</v>
      </c>
      <c r="N342" t="str">
        <f t="shared" si="5"/>
        <v>Tardanza</v>
      </c>
      <c r="O342" t="s">
        <v>122</v>
      </c>
    </row>
    <row r="343" spans="1:15" x14ac:dyDescent="0.3">
      <c r="A343" s="13">
        <v>46079</v>
      </c>
      <c r="B343" t="s">
        <v>130</v>
      </c>
      <c r="C343" t="s">
        <v>64</v>
      </c>
      <c r="D343" t="s">
        <v>65</v>
      </c>
      <c r="E343" t="s">
        <v>25</v>
      </c>
      <c r="F343" t="s">
        <v>112</v>
      </c>
      <c r="G343" t="s">
        <v>90</v>
      </c>
      <c r="H343" s="11">
        <v>0.375</v>
      </c>
      <c r="I343" s="11">
        <v>0.37708333333333333</v>
      </c>
      <c r="J343" s="11">
        <v>0.75</v>
      </c>
      <c r="K343" s="11">
        <v>0.76458333333333328</v>
      </c>
      <c r="L343" t="s">
        <v>9</v>
      </c>
      <c r="M343" s="5">
        <f>IF(OR(I343="",H343=""),"",MAX(0,ROUND((I343-H343-Parametros!$B$4)*1440,0)))</f>
        <v>0</v>
      </c>
      <c r="N343" t="str">
        <f t="shared" si="5"/>
        <v>Sin novedad</v>
      </c>
      <c r="O343" t="s">
        <v>124</v>
      </c>
    </row>
    <row r="344" spans="1:15" x14ac:dyDescent="0.3">
      <c r="A344" s="13">
        <v>46080</v>
      </c>
      <c r="B344" t="s">
        <v>131</v>
      </c>
      <c r="C344" t="s">
        <v>30</v>
      </c>
      <c r="D344" t="s">
        <v>31</v>
      </c>
      <c r="E344" t="s">
        <v>24</v>
      </c>
      <c r="F344" t="s">
        <v>89</v>
      </c>
      <c r="G344" t="s">
        <v>90</v>
      </c>
      <c r="H344" s="11">
        <v>0.375</v>
      </c>
      <c r="I344" s="11">
        <v>0.37013888888888891</v>
      </c>
      <c r="J344" s="11">
        <v>0.75</v>
      </c>
      <c r="K344" s="11">
        <v>0.74236111111111114</v>
      </c>
      <c r="L344" t="s">
        <v>9</v>
      </c>
      <c r="M344" s="5">
        <f>IF(OR(I344="",H344=""),"",MAX(0,ROUND((I344-H344-Parametros!$B$4)*1440,0)))</f>
        <v>0</v>
      </c>
      <c r="N344" t="str">
        <f t="shared" si="5"/>
        <v>Sin novedad</v>
      </c>
      <c r="O344" t="s">
        <v>123</v>
      </c>
    </row>
    <row r="345" spans="1:15" x14ac:dyDescent="0.3">
      <c r="A345" s="13">
        <v>46080</v>
      </c>
      <c r="B345" t="s">
        <v>131</v>
      </c>
      <c r="C345" t="s">
        <v>32</v>
      </c>
      <c r="D345" t="s">
        <v>33</v>
      </c>
      <c r="E345" t="s">
        <v>23</v>
      </c>
      <c r="F345" t="s">
        <v>92</v>
      </c>
      <c r="G345" t="s">
        <v>90</v>
      </c>
      <c r="H345" s="11">
        <v>0.375</v>
      </c>
      <c r="I345" s="11">
        <v>0.36944444444444452</v>
      </c>
      <c r="J345" s="11">
        <v>0.75</v>
      </c>
      <c r="K345" s="11">
        <v>0.7631944444444444</v>
      </c>
      <c r="L345" t="s">
        <v>9</v>
      </c>
      <c r="M345" s="5">
        <f>IF(OR(I345="",H345=""),"",MAX(0,ROUND((I345-H345-Parametros!$B$4)*1440,0)))</f>
        <v>0</v>
      </c>
      <c r="N345" t="str">
        <f t="shared" si="5"/>
        <v>Sin novedad</v>
      </c>
      <c r="O345" t="s">
        <v>124</v>
      </c>
    </row>
    <row r="346" spans="1:15" x14ac:dyDescent="0.3">
      <c r="A346" s="13">
        <v>46080</v>
      </c>
      <c r="B346" t="s">
        <v>131</v>
      </c>
      <c r="C346" t="s">
        <v>34</v>
      </c>
      <c r="D346" t="s">
        <v>35</v>
      </c>
      <c r="E346" t="s">
        <v>22</v>
      </c>
      <c r="F346" t="s">
        <v>94</v>
      </c>
      <c r="G346" t="s">
        <v>90</v>
      </c>
      <c r="H346" s="11">
        <v>0.375</v>
      </c>
      <c r="I346" s="11">
        <v>0.36388888888888887</v>
      </c>
      <c r="J346" s="11">
        <v>0.75</v>
      </c>
      <c r="K346" s="11">
        <v>0.75416666666666665</v>
      </c>
      <c r="L346" t="s">
        <v>9</v>
      </c>
      <c r="M346" s="5">
        <f>IF(OR(I346="",H346=""),"",MAX(0,ROUND((I346-H346-Parametros!$B$4)*1440,0)))</f>
        <v>0</v>
      </c>
      <c r="N346" t="str">
        <f t="shared" si="5"/>
        <v>Sin novedad</v>
      </c>
      <c r="O346" t="s">
        <v>124</v>
      </c>
    </row>
    <row r="347" spans="1:15" x14ac:dyDescent="0.3">
      <c r="A347" s="13">
        <v>46080</v>
      </c>
      <c r="B347" t="s">
        <v>131</v>
      </c>
      <c r="C347" t="s">
        <v>36</v>
      </c>
      <c r="D347" t="s">
        <v>37</v>
      </c>
      <c r="E347" t="s">
        <v>25</v>
      </c>
      <c r="F347" t="s">
        <v>95</v>
      </c>
      <c r="G347" t="s">
        <v>90</v>
      </c>
      <c r="H347" s="11">
        <v>0.375</v>
      </c>
      <c r="I347" s="11">
        <v>0.37847222222222221</v>
      </c>
      <c r="J347" s="11">
        <v>0.75</v>
      </c>
      <c r="K347" s="11">
        <v>0.76458333333333328</v>
      </c>
      <c r="L347" t="s">
        <v>9</v>
      </c>
      <c r="M347" s="5">
        <f>IF(OR(I347="",H347=""),"",MAX(0,ROUND((I347-H347-Parametros!$B$4)*1440,0)))</f>
        <v>0</v>
      </c>
      <c r="N347" t="str">
        <f t="shared" si="5"/>
        <v>Sin novedad</v>
      </c>
      <c r="O347" t="s">
        <v>124</v>
      </c>
    </row>
    <row r="348" spans="1:15" x14ac:dyDescent="0.3">
      <c r="A348" s="13">
        <v>46080</v>
      </c>
      <c r="B348" t="s">
        <v>131</v>
      </c>
      <c r="C348" t="s">
        <v>38</v>
      </c>
      <c r="D348" t="s">
        <v>39</v>
      </c>
      <c r="E348" t="s">
        <v>21</v>
      </c>
      <c r="F348" t="s">
        <v>97</v>
      </c>
      <c r="G348" t="s">
        <v>90</v>
      </c>
      <c r="H348" s="11">
        <v>0.375</v>
      </c>
      <c r="I348" s="11">
        <v>0.37569444444444439</v>
      </c>
      <c r="J348" s="11">
        <v>0.75</v>
      </c>
      <c r="K348" s="11">
        <v>0.74722222222222223</v>
      </c>
      <c r="L348" t="s">
        <v>9</v>
      </c>
      <c r="M348" s="5">
        <f>IF(OR(I348="",H348=""),"",MAX(0,ROUND((I348-H348-Parametros!$B$4)*1440,0)))</f>
        <v>0</v>
      </c>
      <c r="N348" t="str">
        <f t="shared" si="5"/>
        <v>Sin novedad</v>
      </c>
      <c r="O348" t="s">
        <v>125</v>
      </c>
    </row>
    <row r="349" spans="1:15" x14ac:dyDescent="0.3">
      <c r="A349" s="13">
        <v>46080</v>
      </c>
      <c r="B349" t="s">
        <v>131</v>
      </c>
      <c r="C349" t="s">
        <v>40</v>
      </c>
      <c r="D349" t="s">
        <v>41</v>
      </c>
      <c r="E349" t="s">
        <v>23</v>
      </c>
      <c r="F349" t="s">
        <v>98</v>
      </c>
      <c r="G349" t="s">
        <v>99</v>
      </c>
      <c r="H349" s="11">
        <v>0.375</v>
      </c>
      <c r="I349" s="11">
        <v>0.38958333333333328</v>
      </c>
      <c r="J349" s="11">
        <v>0.75</v>
      </c>
      <c r="K349" s="11">
        <v>0.76388888888888884</v>
      </c>
      <c r="L349" t="s">
        <v>11</v>
      </c>
      <c r="M349" s="5">
        <f>IF(OR(I349="",H349=""),"",MAX(0,ROUND((I349-H349-Parametros!$B$4)*1440,0)))</f>
        <v>11</v>
      </c>
      <c r="N349" t="str">
        <f t="shared" si="5"/>
        <v>Tardanza</v>
      </c>
      <c r="O349" t="s">
        <v>121</v>
      </c>
    </row>
    <row r="350" spans="1:15" x14ac:dyDescent="0.3">
      <c r="A350" s="13">
        <v>46080</v>
      </c>
      <c r="B350" t="s">
        <v>131</v>
      </c>
      <c r="C350" t="s">
        <v>42</v>
      </c>
      <c r="D350" t="s">
        <v>43</v>
      </c>
      <c r="E350" t="s">
        <v>24</v>
      </c>
      <c r="F350" t="s">
        <v>100</v>
      </c>
      <c r="G350" t="s">
        <v>90</v>
      </c>
      <c r="H350" s="11">
        <v>0.375</v>
      </c>
      <c r="I350" s="11">
        <v>0.36736111111111108</v>
      </c>
      <c r="J350" s="11">
        <v>0.75</v>
      </c>
      <c r="K350" s="11">
        <v>0.76111111111111107</v>
      </c>
      <c r="L350" t="s">
        <v>9</v>
      </c>
      <c r="M350" s="5">
        <f>IF(OR(I350="",H350=""),"",MAX(0,ROUND((I350-H350-Parametros!$B$4)*1440,0)))</f>
        <v>0</v>
      </c>
      <c r="N350" t="str">
        <f t="shared" si="5"/>
        <v>Sin novedad</v>
      </c>
      <c r="O350" t="s">
        <v>125</v>
      </c>
    </row>
    <row r="351" spans="1:15" x14ac:dyDescent="0.3">
      <c r="A351" s="13">
        <v>46080</v>
      </c>
      <c r="B351" t="s">
        <v>131</v>
      </c>
      <c r="C351" t="s">
        <v>44</v>
      </c>
      <c r="D351" t="s">
        <v>45</v>
      </c>
      <c r="E351" t="s">
        <v>25</v>
      </c>
      <c r="F351" t="s">
        <v>101</v>
      </c>
      <c r="G351" t="s">
        <v>90</v>
      </c>
      <c r="H351" s="11">
        <v>0.375</v>
      </c>
      <c r="I351" s="11">
        <v>0.37222222222222218</v>
      </c>
      <c r="J351" s="11">
        <v>0.75</v>
      </c>
      <c r="K351" s="11">
        <v>0.75138888888888888</v>
      </c>
      <c r="L351" t="s">
        <v>9</v>
      </c>
      <c r="M351" s="5">
        <f>IF(OR(I351="",H351=""),"",MAX(0,ROUND((I351-H351-Parametros!$B$4)*1440,0)))</f>
        <v>0</v>
      </c>
      <c r="N351" t="str">
        <f t="shared" si="5"/>
        <v>Sin novedad</v>
      </c>
      <c r="O351" t="s">
        <v>125</v>
      </c>
    </row>
    <row r="352" spans="1:15" x14ac:dyDescent="0.3">
      <c r="A352" s="13">
        <v>46080</v>
      </c>
      <c r="B352" t="s">
        <v>131</v>
      </c>
      <c r="C352" t="s">
        <v>46</v>
      </c>
      <c r="D352" t="s">
        <v>47</v>
      </c>
      <c r="E352" t="s">
        <v>22</v>
      </c>
      <c r="F352" t="s">
        <v>102</v>
      </c>
      <c r="G352" t="s">
        <v>90</v>
      </c>
      <c r="H352" s="11">
        <v>0.375</v>
      </c>
      <c r="I352" s="11">
        <v>0.37986111111111109</v>
      </c>
      <c r="J352" s="11">
        <v>0.75</v>
      </c>
      <c r="K352" s="11">
        <v>0.76249999999999996</v>
      </c>
      <c r="L352" t="s">
        <v>9</v>
      </c>
      <c r="M352" s="5">
        <f>IF(OR(I352="",H352=""),"",MAX(0,ROUND((I352-H352-Parametros!$B$4)*1440,0)))</f>
        <v>0</v>
      </c>
      <c r="N352" t="str">
        <f t="shared" si="5"/>
        <v>Sin novedad</v>
      </c>
      <c r="O352" t="s">
        <v>124</v>
      </c>
    </row>
    <row r="353" spans="1:15" x14ac:dyDescent="0.3">
      <c r="A353" s="13">
        <v>46080</v>
      </c>
      <c r="B353" t="s">
        <v>131</v>
      </c>
      <c r="C353" t="s">
        <v>48</v>
      </c>
      <c r="D353" t="s">
        <v>49</v>
      </c>
      <c r="E353" t="s">
        <v>21</v>
      </c>
      <c r="F353" t="s">
        <v>103</v>
      </c>
      <c r="G353" t="s">
        <v>104</v>
      </c>
      <c r="H353" s="11">
        <v>0.375</v>
      </c>
      <c r="I353" s="11">
        <v>0.37222222222222218</v>
      </c>
      <c r="J353" s="11">
        <v>0.75</v>
      </c>
      <c r="K353" s="11">
        <v>0.76180555555555551</v>
      </c>
      <c r="L353" t="s">
        <v>9</v>
      </c>
      <c r="M353" s="5">
        <f>IF(OR(I353="",H353=""),"",MAX(0,ROUND((I353-H353-Parametros!$B$4)*1440,0)))</f>
        <v>0</v>
      </c>
      <c r="N353" t="str">
        <f t="shared" si="5"/>
        <v>Sin novedad</v>
      </c>
      <c r="O353" t="s">
        <v>123</v>
      </c>
    </row>
    <row r="354" spans="1:15" x14ac:dyDescent="0.3">
      <c r="A354" s="13">
        <v>46080</v>
      </c>
      <c r="B354" t="s">
        <v>131</v>
      </c>
      <c r="C354" t="s">
        <v>50</v>
      </c>
      <c r="D354" t="s">
        <v>51</v>
      </c>
      <c r="E354" t="s">
        <v>23</v>
      </c>
      <c r="F354" t="s">
        <v>105</v>
      </c>
      <c r="G354" t="s">
        <v>99</v>
      </c>
      <c r="H354" s="11">
        <v>0.375</v>
      </c>
      <c r="I354" s="11">
        <v>0.37152777777777779</v>
      </c>
      <c r="J354" s="11">
        <v>0.75</v>
      </c>
      <c r="K354" s="11">
        <v>0.74861111111111112</v>
      </c>
      <c r="L354" t="s">
        <v>9</v>
      </c>
      <c r="M354" s="5">
        <f>IF(OR(I354="",H354=""),"",MAX(0,ROUND((I354-H354-Parametros!$B$4)*1440,0)))</f>
        <v>0</v>
      </c>
      <c r="N354" t="str">
        <f t="shared" si="5"/>
        <v>Sin novedad</v>
      </c>
      <c r="O354" t="s">
        <v>124</v>
      </c>
    </row>
    <row r="355" spans="1:15" x14ac:dyDescent="0.3">
      <c r="A355" s="13">
        <v>46080</v>
      </c>
      <c r="B355" t="s">
        <v>131</v>
      </c>
      <c r="C355" t="s">
        <v>52</v>
      </c>
      <c r="D355" t="s">
        <v>53</v>
      </c>
      <c r="E355" t="s">
        <v>25</v>
      </c>
      <c r="F355" t="s">
        <v>106</v>
      </c>
      <c r="G355" t="s">
        <v>90</v>
      </c>
      <c r="H355" s="11">
        <v>0.375</v>
      </c>
      <c r="I355" s="11">
        <v>0.36805555555555558</v>
      </c>
      <c r="J355" s="11">
        <v>0.75</v>
      </c>
      <c r="K355" s="11">
        <v>0.74375000000000002</v>
      </c>
      <c r="L355" t="s">
        <v>9</v>
      </c>
      <c r="M355" s="5">
        <f>IF(OR(I355="",H355=""),"",MAX(0,ROUND((I355-H355-Parametros!$B$4)*1440,0)))</f>
        <v>0</v>
      </c>
      <c r="N355" t="str">
        <f t="shared" si="5"/>
        <v>Sin novedad</v>
      </c>
      <c r="O355" t="s">
        <v>125</v>
      </c>
    </row>
    <row r="356" spans="1:15" x14ac:dyDescent="0.3">
      <c r="A356" s="13">
        <v>46080</v>
      </c>
      <c r="B356" t="s">
        <v>131</v>
      </c>
      <c r="C356" t="s">
        <v>54</v>
      </c>
      <c r="D356" t="s">
        <v>55</v>
      </c>
      <c r="E356" t="s">
        <v>21</v>
      </c>
      <c r="F356" t="s">
        <v>107</v>
      </c>
      <c r="G356" t="s">
        <v>104</v>
      </c>
      <c r="H356" s="11">
        <v>0.375</v>
      </c>
      <c r="I356" s="11">
        <v>0.36458333333333331</v>
      </c>
      <c r="J356" s="11">
        <v>0.75</v>
      </c>
      <c r="K356" s="11">
        <v>0.76458333333333328</v>
      </c>
      <c r="L356" t="s">
        <v>9</v>
      </c>
      <c r="M356" s="5">
        <f>IF(OR(I356="",H356=""),"",MAX(0,ROUND((I356-H356-Parametros!$B$4)*1440,0)))</f>
        <v>0</v>
      </c>
      <c r="N356" t="str">
        <f t="shared" si="5"/>
        <v>Sin novedad</v>
      </c>
      <c r="O356" t="s">
        <v>124</v>
      </c>
    </row>
    <row r="357" spans="1:15" x14ac:dyDescent="0.3">
      <c r="A357" s="13">
        <v>46080</v>
      </c>
      <c r="B357" t="s">
        <v>131</v>
      </c>
      <c r="C357" t="s">
        <v>56</v>
      </c>
      <c r="D357" t="s">
        <v>57</v>
      </c>
      <c r="E357" t="s">
        <v>23</v>
      </c>
      <c r="F357" t="s">
        <v>108</v>
      </c>
      <c r="G357" t="s">
        <v>99</v>
      </c>
      <c r="H357" s="11">
        <v>0.375</v>
      </c>
      <c r="I357" s="11">
        <v>0.36805555555555558</v>
      </c>
      <c r="J357" s="11">
        <v>0.75</v>
      </c>
      <c r="K357" s="11">
        <v>0.76111111111111107</v>
      </c>
      <c r="L357" t="s">
        <v>9</v>
      </c>
      <c r="M357" s="5">
        <f>IF(OR(I357="",H357=""),"",MAX(0,ROUND((I357-H357-Parametros!$B$4)*1440,0)))</f>
        <v>0</v>
      </c>
      <c r="N357" t="str">
        <f t="shared" si="5"/>
        <v>Sin novedad</v>
      </c>
      <c r="O357" t="s">
        <v>125</v>
      </c>
    </row>
    <row r="358" spans="1:15" x14ac:dyDescent="0.3">
      <c r="A358" s="13">
        <v>46080</v>
      </c>
      <c r="B358" t="s">
        <v>131</v>
      </c>
      <c r="C358" t="s">
        <v>58</v>
      </c>
      <c r="D358" t="s">
        <v>59</v>
      </c>
      <c r="E358" t="s">
        <v>22</v>
      </c>
      <c r="F358" t="s">
        <v>109</v>
      </c>
      <c r="G358" t="s">
        <v>90</v>
      </c>
      <c r="H358" s="11">
        <v>0.375</v>
      </c>
      <c r="I358" s="11">
        <v>0.36736111111111108</v>
      </c>
      <c r="J358" s="11">
        <v>0.75</v>
      </c>
      <c r="K358" s="11">
        <v>0.76111111111111107</v>
      </c>
      <c r="L358" t="s">
        <v>9</v>
      </c>
      <c r="M358" s="5">
        <f>IF(OR(I358="",H358=""),"",MAX(0,ROUND((I358-H358-Parametros!$B$4)*1440,0)))</f>
        <v>0</v>
      </c>
      <c r="N358" t="str">
        <f t="shared" si="5"/>
        <v>Sin novedad</v>
      </c>
      <c r="O358" t="s">
        <v>123</v>
      </c>
    </row>
    <row r="359" spans="1:15" x14ac:dyDescent="0.3">
      <c r="A359" s="13">
        <v>46080</v>
      </c>
      <c r="B359" t="s">
        <v>131</v>
      </c>
      <c r="C359" t="s">
        <v>60</v>
      </c>
      <c r="D359" t="s">
        <v>61</v>
      </c>
      <c r="E359" t="s">
        <v>24</v>
      </c>
      <c r="F359" t="s">
        <v>110</v>
      </c>
      <c r="G359" t="s">
        <v>90</v>
      </c>
      <c r="H359" s="11">
        <v>0.375</v>
      </c>
      <c r="I359" s="11">
        <v>0.37083333333333329</v>
      </c>
      <c r="J359" s="11">
        <v>0.75</v>
      </c>
      <c r="K359" s="11">
        <v>0.76388888888888884</v>
      </c>
      <c r="L359" t="s">
        <v>9</v>
      </c>
      <c r="M359" s="5">
        <f>IF(OR(I359="",H359=""),"",MAX(0,ROUND((I359-H359-Parametros!$B$4)*1440,0)))</f>
        <v>0</v>
      </c>
      <c r="N359" t="str">
        <f t="shared" si="5"/>
        <v>Sin novedad</v>
      </c>
      <c r="O359" t="s">
        <v>123</v>
      </c>
    </row>
    <row r="360" spans="1:15" x14ac:dyDescent="0.3">
      <c r="A360" s="13">
        <v>46080</v>
      </c>
      <c r="B360" t="s">
        <v>131</v>
      </c>
      <c r="C360" t="s">
        <v>62</v>
      </c>
      <c r="D360" t="s">
        <v>63</v>
      </c>
      <c r="E360" t="s">
        <v>21</v>
      </c>
      <c r="F360" t="s">
        <v>111</v>
      </c>
      <c r="G360" t="s">
        <v>104</v>
      </c>
      <c r="H360" s="11">
        <v>0.375</v>
      </c>
      <c r="I360" s="11">
        <v>0.37013888888888891</v>
      </c>
      <c r="J360" s="11">
        <v>0.75</v>
      </c>
      <c r="K360" s="11">
        <v>0.75138888888888888</v>
      </c>
      <c r="L360" t="s">
        <v>9</v>
      </c>
      <c r="M360" s="5">
        <f>IF(OR(I360="",H360=""),"",MAX(0,ROUND((I360-H360-Parametros!$B$4)*1440,0)))</f>
        <v>0</v>
      </c>
      <c r="N360" t="str">
        <f t="shared" si="5"/>
        <v>Sin novedad</v>
      </c>
      <c r="O360" t="s">
        <v>124</v>
      </c>
    </row>
    <row r="361" spans="1:15" x14ac:dyDescent="0.3">
      <c r="A361" s="13">
        <v>46080</v>
      </c>
      <c r="B361" t="s">
        <v>131</v>
      </c>
      <c r="C361" t="s">
        <v>64</v>
      </c>
      <c r="D361" t="s">
        <v>65</v>
      </c>
      <c r="E361" t="s">
        <v>25</v>
      </c>
      <c r="F361" t="s">
        <v>112</v>
      </c>
      <c r="G361" t="s">
        <v>90</v>
      </c>
      <c r="H361" s="11">
        <v>0.375</v>
      </c>
      <c r="I361" s="11">
        <v>0.3972222222222222</v>
      </c>
      <c r="J361" s="11">
        <v>0.75</v>
      </c>
      <c r="K361" s="11">
        <v>0.75069444444444444</v>
      </c>
      <c r="L361" t="s">
        <v>11</v>
      </c>
      <c r="M361" s="5">
        <f>IF(OR(I361="",H361=""),"",MAX(0,ROUND((I361-H361-Parametros!$B$4)*1440,0)))</f>
        <v>22</v>
      </c>
      <c r="N361" t="str">
        <f t="shared" si="5"/>
        <v>Tardanza</v>
      </c>
      <c r="O361" t="s">
        <v>121</v>
      </c>
    </row>
  </sheetData>
  <conditionalFormatting sqref="L2:O361">
    <cfRule type="expression" dxfId="3" priority="1">
      <formula>$L2="Tardanza"</formula>
    </cfRule>
    <cfRule type="expression" dxfId="2" priority="2">
      <formula>$L2="Falta"</formula>
    </cfRule>
    <cfRule type="expression" dxfId="1" priority="3">
      <formula>$L2="Permiso"</formula>
    </cfRule>
    <cfRule type="expression" dxfId="0" priority="4">
      <formula>$L2="Vacaciones"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Parametros</vt:lpstr>
      <vt:lpstr>Empleados</vt:lpstr>
      <vt:lpstr>Asistencia_Febrero_2026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sniikz10000@gmail.com</cp:lastModifiedBy>
  <dcterms:created xsi:type="dcterms:W3CDTF">2026-03-16T00:56:36Z</dcterms:created>
  <dcterms:modified xsi:type="dcterms:W3CDTF">2026-03-16T01:35:09Z</dcterms:modified>
</cp:coreProperties>
</file>